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ƯƠNG\T06-2026\"/>
    </mc:Choice>
  </mc:AlternateContent>
  <xr:revisionPtr revIDLastSave="0" documentId="13_ncr:1_{19CF2DBB-B845-46E5-95B1-97C1A2B88EB4}" xr6:coauthVersionLast="47" xr6:coauthVersionMax="47" xr10:uidLastSave="{00000000-0000-0000-0000-000000000000}"/>
  <bookViews>
    <workbookView xWindow="-120" yWindow="-120" windowWidth="38640" windowHeight="21120" activeTab="5" xr2:uid="{6707C47C-DF86-4AEA-A551-9602DD5B8462}"/>
  </bookViews>
  <sheets>
    <sheet name="Bảng thông tin" sheetId="15" r:id="rId1"/>
    <sheet name="Bảng tổng hợp" sheetId="3" r:id="rId2"/>
    <sheet name="STK" sheetId="16" r:id="rId3"/>
    <sheet name="BCC" sheetId="7" r:id="rId4"/>
    <sheet name="Bảng thể hiện" sheetId="13" r:id="rId5"/>
    <sheet name="Bảng TT CTV" sheetId="11" r:id="rId6"/>
    <sheet name="Phiếu lương" sheetId="9" r:id="rId7"/>
  </sheets>
  <externalReferences>
    <externalReference r:id="rId8"/>
  </externalReferences>
  <definedNames>
    <definedName name="_xlnm._FilterDatabase" localSheetId="4" hidden="1">'Bảng thể hiện'!$A$14:$AX$62</definedName>
    <definedName name="_xlnm._FilterDatabase" localSheetId="0" hidden="1">'Bảng thông tin'!$A$1:$S$43</definedName>
    <definedName name="_xlnm._FilterDatabase" localSheetId="1" hidden="1">'Bảng tổng hợp'!$A$3:$BB$47</definedName>
    <definedName name="_xlnm._FilterDatabase" localSheetId="3" hidden="1">BCC!$A$8:$AS$95</definedName>
    <definedName name="_xlnm.Print_Area" localSheetId="4">'Bảng thể hiện'!$A$3:$AK$71</definedName>
    <definedName name="_xlnm.Print_Area" localSheetId="3">BCC!$A$1:$AN$111</definedName>
    <definedName name="_xlnm.Print_Area" localSheetId="6">'Phiếu lương'!$A$1:$F$38</definedName>
    <definedName name="_xlnm.Print_Area" localSheetId="2">STK!$A$1:$F$49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1" l="1"/>
  <c r="G12" i="11" s="1"/>
  <c r="H24" i="11"/>
  <c r="B56" i="13"/>
  <c r="M56" i="13" s="1"/>
  <c r="D56" i="13"/>
  <c r="I56" i="13"/>
  <c r="K56" i="13"/>
  <c r="L56" i="13"/>
  <c r="AB56" i="13"/>
  <c r="AD56" i="13"/>
  <c r="AE56" i="13"/>
  <c r="B57" i="13"/>
  <c r="C57" i="13" s="1"/>
  <c r="M57" i="13"/>
  <c r="O57" i="13"/>
  <c r="Q57" i="13"/>
  <c r="R57" i="13"/>
  <c r="B58" i="13"/>
  <c r="O58" i="13" s="1"/>
  <c r="K58" i="13"/>
  <c r="L58" i="13"/>
  <c r="M58" i="13"/>
  <c r="N58" i="13"/>
  <c r="Y58" i="13"/>
  <c r="AC58" i="13"/>
  <c r="AD58" i="13"/>
  <c r="AF58" i="13"/>
  <c r="AH58" i="13"/>
  <c r="B60" i="13"/>
  <c r="D60" i="13" s="1"/>
  <c r="C60" i="13"/>
  <c r="N60" i="13"/>
  <c r="O60" i="13"/>
  <c r="P60" i="13"/>
  <c r="R60" i="13"/>
  <c r="X60" i="13"/>
  <c r="Z60" i="13"/>
  <c r="AA60" i="13"/>
  <c r="AB60" i="13"/>
  <c r="AC60" i="13"/>
  <c r="AH60" i="13"/>
  <c r="AI60" i="13"/>
  <c r="B61" i="13"/>
  <c r="P61" i="13" s="1"/>
  <c r="E61" i="13"/>
  <c r="F61" i="13"/>
  <c r="T61" i="13"/>
  <c r="V61" i="13"/>
  <c r="H20" i="9"/>
  <c r="C29" i="9"/>
  <c r="AK77" i="7"/>
  <c r="AL19" i="7"/>
  <c r="AK19" i="7"/>
  <c r="AL23" i="7"/>
  <c r="AK23" i="7" s="1"/>
  <c r="AK21" i="7"/>
  <c r="B33" i="13"/>
  <c r="E33" i="13" s="1"/>
  <c r="X61" i="13" l="1"/>
  <c r="W60" i="13"/>
  <c r="T58" i="13"/>
  <c r="AJ56" i="13"/>
  <c r="AJ55" i="13" s="1"/>
  <c r="W61" i="13"/>
  <c r="S60" i="13"/>
  <c r="Q58" i="13"/>
  <c r="AH56" i="13"/>
  <c r="Z56" i="13"/>
  <c r="D61" i="13"/>
  <c r="K60" i="13"/>
  <c r="H58" i="13"/>
  <c r="Y56" i="13"/>
  <c r="H60" i="13"/>
  <c r="D58" i="13"/>
  <c r="U56" i="13"/>
  <c r="S56" i="13"/>
  <c r="AH57" i="13"/>
  <c r="Q56" i="13"/>
  <c r="Q55" i="13" s="1"/>
  <c r="AE60" i="13"/>
  <c r="AJ58" i="13"/>
  <c r="U57" i="13"/>
  <c r="N56" i="13"/>
  <c r="AE61" i="13"/>
  <c r="AE59" i="13" s="1"/>
  <c r="Y61" i="13"/>
  <c r="G61" i="13"/>
  <c r="X57" i="13"/>
  <c r="AF56" i="13"/>
  <c r="O56" i="13"/>
  <c r="O55" i="13" s="1"/>
  <c r="U61" i="13"/>
  <c r="C61" i="13"/>
  <c r="Q60" i="13"/>
  <c r="AG58" i="13"/>
  <c r="I58" i="13"/>
  <c r="P57" i="13"/>
  <c r="AA56" i="13"/>
  <c r="J56" i="13"/>
  <c r="H56" i="13"/>
  <c r="L57" i="13"/>
  <c r="L55" i="13" s="1"/>
  <c r="X56" i="13"/>
  <c r="G56" i="13"/>
  <c r="AI61" i="13"/>
  <c r="AI59" i="13" s="1"/>
  <c r="O61" i="13"/>
  <c r="AG60" i="13"/>
  <c r="M60" i="13"/>
  <c r="AB58" i="13"/>
  <c r="AK57" i="13"/>
  <c r="H57" i="13"/>
  <c r="W56" i="13"/>
  <c r="F56" i="13"/>
  <c r="AJ61" i="13"/>
  <c r="R61" i="13"/>
  <c r="R59" i="13" s="1"/>
  <c r="AH61" i="13"/>
  <c r="AH59" i="13" s="1"/>
  <c r="N61" i="13"/>
  <c r="N59" i="13" s="1"/>
  <c r="AF60" i="13"/>
  <c r="L60" i="13"/>
  <c r="AA58" i="13"/>
  <c r="AJ57" i="13"/>
  <c r="E57" i="13"/>
  <c r="V56" i="13"/>
  <c r="E56" i="13"/>
  <c r="AD61" i="13"/>
  <c r="L61" i="13"/>
  <c r="AD60" i="13"/>
  <c r="J60" i="13"/>
  <c r="J59" i="13" s="1"/>
  <c r="X58" i="13"/>
  <c r="AG57" i="13"/>
  <c r="AK56" i="13"/>
  <c r="T56" i="13"/>
  <c r="C56" i="13"/>
  <c r="AC59" i="13"/>
  <c r="AF57" i="13"/>
  <c r="M55" i="13"/>
  <c r="M61" i="13"/>
  <c r="AB61" i="13"/>
  <c r="AB59" i="13" s="1"/>
  <c r="J61" i="13"/>
  <c r="G60" i="13"/>
  <c r="G59" i="13" s="1"/>
  <c r="R58" i="13"/>
  <c r="AE57" i="13"/>
  <c r="AI56" i="13"/>
  <c r="R56" i="13"/>
  <c r="AK61" i="13"/>
  <c r="S61" i="13"/>
  <c r="S59" i="13" s="1"/>
  <c r="AC61" i="13"/>
  <c r="K61" i="13"/>
  <c r="K59" i="13" s="1"/>
  <c r="AA61" i="13"/>
  <c r="AA59" i="13" s="1"/>
  <c r="I61" i="13"/>
  <c r="AH55" i="13"/>
  <c r="O59" i="13"/>
  <c r="AC57" i="13"/>
  <c r="Z61" i="13"/>
  <c r="H61" i="13"/>
  <c r="H59" i="13" s="1"/>
  <c r="Z59" i="13"/>
  <c r="P58" i="13"/>
  <c r="AB57" i="13"/>
  <c r="AB55" i="13" s="1"/>
  <c r="AG56" i="13"/>
  <c r="P56" i="13"/>
  <c r="P59" i="13"/>
  <c r="Y60" i="13"/>
  <c r="I60" i="13"/>
  <c r="I59" i="13" s="1"/>
  <c r="Z58" i="13"/>
  <c r="J58" i="13"/>
  <c r="AD57" i="13"/>
  <c r="AD55" i="13" s="1"/>
  <c r="N57" i="13"/>
  <c r="V60" i="13"/>
  <c r="V59" i="13" s="1"/>
  <c r="F60" i="13"/>
  <c r="W58" i="13"/>
  <c r="G58" i="13"/>
  <c r="AA57" i="13"/>
  <c r="AA55" i="13" s="1"/>
  <c r="K57" i="13"/>
  <c r="K55" i="13" s="1"/>
  <c r="AG61" i="13"/>
  <c r="Q61" i="13"/>
  <c r="Q59" i="13" s="1"/>
  <c r="AK60" i="13"/>
  <c r="AK59" i="13" s="1"/>
  <c r="U60" i="13"/>
  <c r="U59" i="13" s="1"/>
  <c r="E60" i="13"/>
  <c r="V58" i="13"/>
  <c r="F58" i="13"/>
  <c r="Z57" i="13"/>
  <c r="J57" i="13"/>
  <c r="AF61" i="13"/>
  <c r="AJ60" i="13"/>
  <c r="T60" i="13"/>
  <c r="T59" i="13" s="1"/>
  <c r="AK58" i="13"/>
  <c r="U58" i="13"/>
  <c r="U55" i="13" s="1"/>
  <c r="E58" i="13"/>
  <c r="Y57" i="13"/>
  <c r="Y55" i="13" s="1"/>
  <c r="I57" i="13"/>
  <c r="I55" i="13" s="1"/>
  <c r="AC56" i="13"/>
  <c r="AC55" i="13" s="1"/>
  <c r="AI58" i="13"/>
  <c r="S58" i="13"/>
  <c r="C58" i="13"/>
  <c r="W57" i="13"/>
  <c r="G57" i="13"/>
  <c r="V57" i="13"/>
  <c r="F57" i="13"/>
  <c r="T57" i="13"/>
  <c r="D57" i="13"/>
  <c r="AE58" i="13"/>
  <c r="AI57" i="13"/>
  <c r="S57" i="13"/>
  <c r="F33" i="13"/>
  <c r="AI55" i="13" l="1"/>
  <c r="AD59" i="13"/>
  <c r="AE55" i="13"/>
  <c r="AJ59" i="13"/>
  <c r="T55" i="13"/>
  <c r="AF59" i="13"/>
  <c r="N55" i="13"/>
  <c r="AF55" i="13"/>
  <c r="V55" i="13"/>
  <c r="Z55" i="13"/>
  <c r="AK55" i="13"/>
  <c r="G55" i="13"/>
  <c r="L59" i="13"/>
  <c r="H55" i="13"/>
  <c r="R55" i="13"/>
  <c r="W59" i="13"/>
  <c r="P55" i="13"/>
  <c r="AG59" i="13"/>
  <c r="AG55" i="13"/>
  <c r="M59" i="13"/>
  <c r="S55" i="13"/>
  <c r="X55" i="13"/>
  <c r="J55" i="13"/>
  <c r="W55" i="13"/>
  <c r="AJ89" i="7"/>
  <c r="AJ87" i="7"/>
  <c r="AJ85" i="7"/>
  <c r="AJ83" i="7"/>
  <c r="AJ81" i="7"/>
  <c r="AJ79" i="7"/>
  <c r="AJ77" i="7"/>
  <c r="AJ75" i="7"/>
  <c r="AJ73" i="7"/>
  <c r="AJ71" i="7"/>
  <c r="AJ69" i="7"/>
  <c r="AJ67" i="7"/>
  <c r="AJ65" i="7"/>
  <c r="AJ63" i="7"/>
  <c r="AJ61" i="7"/>
  <c r="AJ59" i="7"/>
  <c r="AJ57" i="7"/>
  <c r="AJ55" i="7"/>
  <c r="AJ53" i="7"/>
  <c r="AJ51" i="7"/>
  <c r="AJ49" i="7"/>
  <c r="AJ47" i="7"/>
  <c r="AJ45" i="7"/>
  <c r="AJ41" i="7"/>
  <c r="AJ39" i="7"/>
  <c r="AJ37" i="7"/>
  <c r="AJ35" i="7"/>
  <c r="AJ33" i="7"/>
  <c r="AJ31" i="7"/>
  <c r="AJ29" i="7"/>
  <c r="AJ27" i="7"/>
  <c r="AJ25" i="7"/>
  <c r="AJ23" i="7"/>
  <c r="AJ21" i="7"/>
  <c r="AJ19" i="7"/>
  <c r="AJ17" i="7"/>
  <c r="AJ15" i="7"/>
  <c r="AJ13" i="7"/>
  <c r="AJ11" i="7"/>
  <c r="AU47" i="3"/>
  <c r="T5" i="3" l="1"/>
  <c r="T6" i="3"/>
  <c r="T7" i="3"/>
  <c r="T8" i="3"/>
  <c r="T9" i="3"/>
  <c r="T10" i="3"/>
  <c r="T11" i="3"/>
  <c r="T12" i="3"/>
  <c r="T13" i="3"/>
  <c r="T14" i="3"/>
  <c r="T15" i="3"/>
  <c r="T16" i="3"/>
  <c r="T17" i="3"/>
  <c r="X33" i="13" s="1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" i="3"/>
  <c r="AK49" i="7"/>
  <c r="AK47" i="7"/>
  <c r="AK89" i="7"/>
  <c r="AK87" i="7"/>
  <c r="AK85" i="7"/>
  <c r="AK83" i="7"/>
  <c r="AK35" i="7"/>
  <c r="AK33" i="7"/>
  <c r="AO89" i="7"/>
  <c r="AO87" i="7"/>
  <c r="AO85" i="7"/>
  <c r="AO83" i="7"/>
  <c r="E43" i="7"/>
  <c r="AJ43" i="7" s="1"/>
  <c r="AO37" i="7"/>
  <c r="T47" i="3" l="1"/>
  <c r="AO81" i="7"/>
  <c r="AO79" i="7"/>
  <c r="AO77" i="7"/>
  <c r="AO75" i="7"/>
  <c r="AO73" i="7"/>
  <c r="AO71" i="7"/>
  <c r="AO69" i="7"/>
  <c r="AO67" i="7"/>
  <c r="AO65" i="7"/>
  <c r="AO63" i="7"/>
  <c r="AO61" i="7"/>
  <c r="AO59" i="7"/>
  <c r="AO57" i="7"/>
  <c r="AO55" i="7"/>
  <c r="AO51" i="7"/>
  <c r="AO49" i="7"/>
  <c r="AO47" i="7"/>
  <c r="AO45" i="7"/>
  <c r="AO43" i="7"/>
  <c r="AO41" i="7"/>
  <c r="AO39" i="7"/>
  <c r="AO35" i="7"/>
  <c r="AO33" i="7"/>
  <c r="AO31" i="7"/>
  <c r="AO29" i="7"/>
  <c r="AO27" i="7"/>
  <c r="AO25" i="7"/>
  <c r="AO23" i="7"/>
  <c r="AO21" i="7"/>
  <c r="AO17" i="7"/>
  <c r="AO15" i="7"/>
  <c r="AO13" i="7"/>
  <c r="AO11" i="7"/>
  <c r="D17" i="3" l="1"/>
  <c r="D33" i="13" s="1"/>
  <c r="H17" i="3"/>
  <c r="G33" i="13" s="1"/>
  <c r="I17" i="3"/>
  <c r="H33" i="13" s="1"/>
  <c r="J17" i="3"/>
  <c r="I33" i="13" s="1"/>
  <c r="K17" i="3"/>
  <c r="J33" i="13" s="1"/>
  <c r="L17" i="3"/>
  <c r="K33" i="13" s="1"/>
  <c r="M17" i="3"/>
  <c r="L33" i="13" s="1"/>
  <c r="AB17" i="3"/>
  <c r="Z33" i="13" s="1"/>
  <c r="AV17" i="3"/>
  <c r="BA17" i="3"/>
  <c r="AF33" i="13" s="1"/>
  <c r="C17" i="3"/>
  <c r="C33" i="13" s="1"/>
  <c r="U17" i="3" l="1"/>
  <c r="Y33" i="13" s="1"/>
  <c r="AT17" i="3"/>
  <c r="AW17" i="3" s="1"/>
  <c r="AG33" i="13" s="1"/>
  <c r="AA17" i="3"/>
  <c r="AF17" i="3" l="1"/>
  <c r="S33" i="13"/>
  <c r="H42" i="3"/>
  <c r="H41" i="15"/>
  <c r="H42" i="15"/>
  <c r="H43" i="15"/>
  <c r="G41" i="3"/>
  <c r="AN89" i="7"/>
  <c r="AP89" i="7" s="1"/>
  <c r="AM89" i="7"/>
  <c r="P43" i="3" s="1"/>
  <c r="O43" i="3"/>
  <c r="AN87" i="7"/>
  <c r="AP87" i="7" s="1"/>
  <c r="AM87" i="7"/>
  <c r="P42" i="3" s="1"/>
  <c r="O42" i="3"/>
  <c r="J42" i="3"/>
  <c r="K42" i="3"/>
  <c r="L42" i="3"/>
  <c r="M42" i="3"/>
  <c r="R42" i="3"/>
  <c r="AB42" i="3"/>
  <c r="AV42" i="3"/>
  <c r="BA42" i="3"/>
  <c r="J43" i="3"/>
  <c r="K43" i="3"/>
  <c r="L43" i="3"/>
  <c r="M43" i="3"/>
  <c r="R43" i="3"/>
  <c r="AB43" i="3"/>
  <c r="AV43" i="3"/>
  <c r="BA43" i="3"/>
  <c r="I42" i="3"/>
  <c r="I43" i="3"/>
  <c r="H43" i="3"/>
  <c r="O43" i="15"/>
  <c r="N43" i="3" s="1"/>
  <c r="D43" i="3"/>
  <c r="D42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" i="3"/>
  <c r="C24" i="9" s="1"/>
  <c r="AD42" i="3" l="1"/>
  <c r="AD43" i="3"/>
  <c r="S43" i="3"/>
  <c r="S42" i="3"/>
  <c r="Q43" i="3"/>
  <c r="U43" i="3"/>
  <c r="V42" i="3"/>
  <c r="V43" i="3"/>
  <c r="AB47" i="3"/>
  <c r="Q42" i="3"/>
  <c r="U42" i="3"/>
  <c r="AN43" i="3"/>
  <c r="AT42" i="3"/>
  <c r="AW42" i="3" s="1"/>
  <c r="Z43" i="3"/>
  <c r="X42" i="3"/>
  <c r="AT43" i="3"/>
  <c r="AW43" i="3" s="1"/>
  <c r="AN42" i="3"/>
  <c r="AA43" i="3"/>
  <c r="AA42" i="3"/>
  <c r="Y43" i="3"/>
  <c r="X43" i="3"/>
  <c r="W42" i="3"/>
  <c r="Z42" i="3"/>
  <c r="Y42" i="3"/>
  <c r="AF43" i="3"/>
  <c r="AF42" i="3"/>
  <c r="AE43" i="3"/>
  <c r="AE42" i="3"/>
  <c r="W43" i="3"/>
  <c r="AC43" i="3" l="1"/>
  <c r="AC42" i="3"/>
  <c r="AQ43" i="3"/>
  <c r="AI43" i="3"/>
  <c r="AK43" i="3"/>
  <c r="AL43" i="3"/>
  <c r="AJ43" i="3"/>
  <c r="AO43" i="3"/>
  <c r="AP43" i="3"/>
  <c r="AI42" i="3"/>
  <c r="AK42" i="3"/>
  <c r="AL42" i="3"/>
  <c r="AO42" i="3"/>
  <c r="AJ42" i="3"/>
  <c r="AQ42" i="3"/>
  <c r="AP42" i="3"/>
  <c r="AM43" i="3" l="1"/>
  <c r="AR42" i="3"/>
  <c r="AR43" i="3"/>
  <c r="AM42" i="3"/>
  <c r="M5" i="3"/>
  <c r="M6" i="3"/>
  <c r="M7" i="3"/>
  <c r="M8" i="3"/>
  <c r="M9" i="3"/>
  <c r="M10" i="3"/>
  <c r="M11" i="3"/>
  <c r="M12" i="3"/>
  <c r="M13" i="3"/>
  <c r="M14" i="3"/>
  <c r="M15" i="3"/>
  <c r="M16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" i="3"/>
  <c r="L5" i="3"/>
  <c r="L6" i="3"/>
  <c r="L7" i="3"/>
  <c r="L8" i="3"/>
  <c r="L9" i="3"/>
  <c r="L10" i="3"/>
  <c r="L11" i="3"/>
  <c r="L12" i="3"/>
  <c r="L13" i="3"/>
  <c r="L14" i="3"/>
  <c r="L15" i="3"/>
  <c r="L16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" i="3"/>
  <c r="K5" i="3"/>
  <c r="K6" i="3"/>
  <c r="K7" i="3"/>
  <c r="K8" i="3"/>
  <c r="K9" i="3"/>
  <c r="K10" i="3"/>
  <c r="K11" i="3"/>
  <c r="K12" i="3"/>
  <c r="K13" i="3"/>
  <c r="K14" i="3"/>
  <c r="K15" i="3"/>
  <c r="K16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8" i="3"/>
  <c r="H19" i="3"/>
  <c r="H20" i="3"/>
  <c r="H21" i="3"/>
  <c r="H22" i="3"/>
  <c r="H23" i="3"/>
  <c r="U23" i="3" s="1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" i="3"/>
  <c r="O42" i="15"/>
  <c r="N42" i="3" s="1"/>
  <c r="U24" i="3" l="1"/>
  <c r="U38" i="3"/>
  <c r="U22" i="3"/>
  <c r="U5" i="3"/>
  <c r="L47" i="3"/>
  <c r="U36" i="3"/>
  <c r="U20" i="3"/>
  <c r="U35" i="3"/>
  <c r="U19" i="3"/>
  <c r="I47" i="3"/>
  <c r="U34" i="3"/>
  <c r="U18" i="3"/>
  <c r="M47" i="3"/>
  <c r="U15" i="3"/>
  <c r="J47" i="3"/>
  <c r="U7" i="3"/>
  <c r="U33" i="3"/>
  <c r="U40" i="3"/>
  <c r="U37" i="3"/>
  <c r="U30" i="3"/>
  <c r="U16" i="3"/>
  <c r="U14" i="3"/>
  <c r="U29" i="3"/>
  <c r="U21" i="3"/>
  <c r="U31" i="3"/>
  <c r="U12" i="3"/>
  <c r="U28" i="3"/>
  <c r="U11" i="3"/>
  <c r="U6" i="3"/>
  <c r="U10" i="3"/>
  <c r="K47" i="3"/>
  <c r="U39" i="3"/>
  <c r="U32" i="3"/>
  <c r="U13" i="3"/>
  <c r="U27" i="3"/>
  <c r="H47" i="3"/>
  <c r="U4" i="3"/>
  <c r="C23" i="9" s="1"/>
  <c r="U26" i="3"/>
  <c r="U9" i="3"/>
  <c r="U41" i="3"/>
  <c r="U25" i="3"/>
  <c r="U8" i="3"/>
  <c r="AG43" i="3"/>
  <c r="AH43" i="3" s="1"/>
  <c r="AX43" i="3" s="1"/>
  <c r="AG42" i="3"/>
  <c r="AH42" i="3" s="1"/>
  <c r="AX42" i="3" s="1"/>
  <c r="O17" i="3"/>
  <c r="O4" i="3"/>
  <c r="X4" i="3" s="1"/>
  <c r="O33" i="13" l="1"/>
  <c r="X17" i="3"/>
  <c r="U47" i="3"/>
  <c r="V17" i="3"/>
  <c r="Z17" i="3"/>
  <c r="Y17" i="3"/>
  <c r="Q33" i="13" s="1"/>
  <c r="W17" i="3"/>
  <c r="G14" i="11"/>
  <c r="F14" i="11"/>
  <c r="H12" i="11"/>
  <c r="AE17" i="3" l="1"/>
  <c r="R33" i="13"/>
  <c r="AD17" i="3"/>
  <c r="P33" i="13"/>
  <c r="B52" i="13"/>
  <c r="B51" i="13"/>
  <c r="B26" i="13"/>
  <c r="B25" i="13"/>
  <c r="AN85" i="7"/>
  <c r="AP85" i="7" s="1"/>
  <c r="AM85" i="7"/>
  <c r="R41" i="3"/>
  <c r="AN83" i="7"/>
  <c r="AP83" i="7" s="1"/>
  <c r="AM83" i="7"/>
  <c r="R40" i="3"/>
  <c r="S40" i="3" s="1"/>
  <c r="AN81" i="7"/>
  <c r="AP81" i="7" s="1"/>
  <c r="AM81" i="7"/>
  <c r="AK81" i="7"/>
  <c r="R39" i="3" s="1"/>
  <c r="S39" i="3" s="1"/>
  <c r="AN79" i="7"/>
  <c r="AP79" i="7" s="1"/>
  <c r="AM79" i="7"/>
  <c r="AK79" i="7"/>
  <c r="R38" i="3" s="1"/>
  <c r="S38" i="3" s="1"/>
  <c r="AN77" i="7"/>
  <c r="AP77" i="7" s="1"/>
  <c r="AM77" i="7"/>
  <c r="P37" i="3" s="1"/>
  <c r="Q37" i="3" s="1"/>
  <c r="O38" i="3"/>
  <c r="X38" i="3" s="1"/>
  <c r="AV38" i="3"/>
  <c r="BA38" i="3"/>
  <c r="O39" i="3"/>
  <c r="AV39" i="3"/>
  <c r="BA39" i="3"/>
  <c r="O40" i="3"/>
  <c r="AV40" i="3"/>
  <c r="BA40" i="3"/>
  <c r="O41" i="3"/>
  <c r="AV41" i="3"/>
  <c r="BA41" i="3"/>
  <c r="D38" i="3"/>
  <c r="AT38" i="3" s="1"/>
  <c r="D39" i="3"/>
  <c r="D40" i="3"/>
  <c r="D41" i="3"/>
  <c r="C38" i="3"/>
  <c r="C39" i="3"/>
  <c r="C40" i="3"/>
  <c r="C41" i="3"/>
  <c r="H35" i="15"/>
  <c r="G17" i="3" s="1"/>
  <c r="H36" i="15"/>
  <c r="G36" i="3" s="1"/>
  <c r="H37" i="15"/>
  <c r="G37" i="3" s="1"/>
  <c r="H38" i="15"/>
  <c r="H39" i="15"/>
  <c r="H40" i="15"/>
  <c r="AN41" i="3"/>
  <c r="O37" i="15"/>
  <c r="N37" i="3" s="1"/>
  <c r="O38" i="15"/>
  <c r="N38" i="3" s="1"/>
  <c r="O39" i="15"/>
  <c r="N39" i="3" s="1"/>
  <c r="O40" i="15"/>
  <c r="N40" i="3" s="1"/>
  <c r="AI17" i="3" l="1"/>
  <c r="N33" i="13"/>
  <c r="P39" i="3"/>
  <c r="Q39" i="3" s="1"/>
  <c r="U51" i="13" s="1"/>
  <c r="P40" i="3"/>
  <c r="Q40" i="3" s="1"/>
  <c r="U52" i="13" s="1"/>
  <c r="P41" i="3"/>
  <c r="P38" i="3"/>
  <c r="Q38" i="3" s="1"/>
  <c r="U26" i="13" s="1"/>
  <c r="AF51" i="13"/>
  <c r="V51" i="13"/>
  <c r="W51" i="13"/>
  <c r="X51" i="13"/>
  <c r="Y51" i="13"/>
  <c r="Z51" i="13"/>
  <c r="AC51" i="13"/>
  <c r="X52" i="13"/>
  <c r="Y52" i="13"/>
  <c r="Z52" i="13"/>
  <c r="AF52" i="13"/>
  <c r="V52" i="13"/>
  <c r="W52" i="13"/>
  <c r="T25" i="13"/>
  <c r="U25" i="13"/>
  <c r="X25" i="13"/>
  <c r="Y25" i="13"/>
  <c r="Z25" i="13"/>
  <c r="Z26" i="13"/>
  <c r="AF26" i="13"/>
  <c r="AG26" i="13"/>
  <c r="V26" i="13"/>
  <c r="X26" i="13"/>
  <c r="W26" i="13"/>
  <c r="Y26" i="13"/>
  <c r="S41" i="3"/>
  <c r="AA41" i="3"/>
  <c r="E26" i="13"/>
  <c r="G40" i="3"/>
  <c r="AN40" i="3" s="1"/>
  <c r="AC52" i="13" s="1"/>
  <c r="G39" i="3"/>
  <c r="AN39" i="3" s="1"/>
  <c r="G38" i="3"/>
  <c r="N26" i="13" s="1"/>
  <c r="AN17" i="3"/>
  <c r="AC33" i="13" s="1"/>
  <c r="AO17" i="3"/>
  <c r="AL17" i="3"/>
  <c r="AK17" i="3"/>
  <c r="AJ17" i="3"/>
  <c r="AQ17" i="3"/>
  <c r="AP17" i="3"/>
  <c r="AO41" i="3"/>
  <c r="X41" i="3"/>
  <c r="Y41" i="3"/>
  <c r="Z41" i="3"/>
  <c r="L52" i="13"/>
  <c r="H52" i="13"/>
  <c r="AW38" i="3"/>
  <c r="AD41" i="3"/>
  <c r="Y40" i="3"/>
  <c r="Q52" i="13" s="1"/>
  <c r="O26" i="13"/>
  <c r="O51" i="13"/>
  <c r="O52" i="13"/>
  <c r="AA40" i="3"/>
  <c r="S52" i="13" s="1"/>
  <c r="AF41" i="3"/>
  <c r="X39" i="3"/>
  <c r="P51" i="13" s="1"/>
  <c r="Z38" i="3"/>
  <c r="R26" i="13" s="1"/>
  <c r="D52" i="13"/>
  <c r="F51" i="13"/>
  <c r="J51" i="13"/>
  <c r="N51" i="13"/>
  <c r="C51" i="13"/>
  <c r="G51" i="13"/>
  <c r="K51" i="13"/>
  <c r="E52" i="13"/>
  <c r="I52" i="13"/>
  <c r="M52" i="13"/>
  <c r="D51" i="13"/>
  <c r="H51" i="13"/>
  <c r="L51" i="13"/>
  <c r="F52" i="13"/>
  <c r="J52" i="13"/>
  <c r="E51" i="13"/>
  <c r="I51" i="13"/>
  <c r="M51" i="13"/>
  <c r="C52" i="13"/>
  <c r="G52" i="13"/>
  <c r="K52" i="13"/>
  <c r="E25" i="13"/>
  <c r="F26" i="13"/>
  <c r="J26" i="13"/>
  <c r="F25" i="13"/>
  <c r="G26" i="13"/>
  <c r="D26" i="13"/>
  <c r="H26" i="13"/>
  <c r="L26" i="13"/>
  <c r="C26" i="13"/>
  <c r="K26" i="13"/>
  <c r="I26" i="13"/>
  <c r="M26" i="13"/>
  <c r="AK41" i="3"/>
  <c r="Y39" i="3"/>
  <c r="Q51" i="13" s="1"/>
  <c r="V38" i="3"/>
  <c r="P26" i="13"/>
  <c r="AG39" i="3"/>
  <c r="Z40" i="3"/>
  <c r="R52" i="13" s="1"/>
  <c r="AO40" i="3"/>
  <c r="V39" i="3"/>
  <c r="AG40" i="3"/>
  <c r="Y38" i="3"/>
  <c r="Q26" i="13" s="1"/>
  <c r="AP39" i="3"/>
  <c r="AL39" i="3"/>
  <c r="Z39" i="3"/>
  <c r="R51" i="13" s="1"/>
  <c r="AG38" i="3"/>
  <c r="AE41" i="3"/>
  <c r="AT40" i="3"/>
  <c r="AW40" i="3" s="1"/>
  <c r="AG52" i="13" s="1"/>
  <c r="AT39" i="3"/>
  <c r="AW39" i="3" s="1"/>
  <c r="AG51" i="13" s="1"/>
  <c r="AO39" i="3"/>
  <c r="AK39" i="3"/>
  <c r="AO38" i="3"/>
  <c r="AT41" i="3"/>
  <c r="AW41" i="3" s="1"/>
  <c r="V40" i="3"/>
  <c r="W40" i="3"/>
  <c r="AJ39" i="3"/>
  <c r="W39" i="3"/>
  <c r="AA38" i="3"/>
  <c r="S26" i="13" s="1"/>
  <c r="W38" i="3"/>
  <c r="AQ39" i="3"/>
  <c r="AI39" i="3"/>
  <c r="AA39" i="3"/>
  <c r="S51" i="13" s="1"/>
  <c r="AJ41" i="3"/>
  <c r="AQ41" i="3"/>
  <c r="AI41" i="3"/>
  <c r="W41" i="3"/>
  <c r="X40" i="3"/>
  <c r="P52" i="13" s="1"/>
  <c r="AP41" i="3"/>
  <c r="AL41" i="3"/>
  <c r="T52" i="13" l="1"/>
  <c r="T51" i="13"/>
  <c r="Q41" i="3"/>
  <c r="T26" i="13"/>
  <c r="AC38" i="3"/>
  <c r="AA26" i="13" s="1"/>
  <c r="AC40" i="3"/>
  <c r="AC39" i="3"/>
  <c r="AA51" i="13" s="1"/>
  <c r="AG41" i="3"/>
  <c r="AH41" i="3" s="1"/>
  <c r="AQ40" i="3"/>
  <c r="AJ40" i="3"/>
  <c r="AJ38" i="3"/>
  <c r="AK40" i="3"/>
  <c r="AP40" i="3"/>
  <c r="AI40" i="3"/>
  <c r="AQ38" i="3"/>
  <c r="AK38" i="3"/>
  <c r="AL40" i="3"/>
  <c r="AM17" i="3"/>
  <c r="AB33" i="13" s="1"/>
  <c r="N52" i="13"/>
  <c r="AP38" i="3"/>
  <c r="AI38" i="3"/>
  <c r="AR17" i="3"/>
  <c r="AD33" i="13" s="1"/>
  <c r="AN38" i="3"/>
  <c r="AC26" i="13" s="1"/>
  <c r="AL38" i="3"/>
  <c r="V41" i="3"/>
  <c r="AF40" i="3"/>
  <c r="AF38" i="3"/>
  <c r="AE39" i="3"/>
  <c r="AF39" i="3"/>
  <c r="AE40" i="3"/>
  <c r="AE38" i="3"/>
  <c r="AD40" i="3"/>
  <c r="AD38" i="3"/>
  <c r="AD39" i="3"/>
  <c r="AR39" i="3"/>
  <c r="AD51" i="13" s="1"/>
  <c r="AR41" i="3"/>
  <c r="AM41" i="3"/>
  <c r="AM39" i="3"/>
  <c r="AB51" i="13" s="1"/>
  <c r="AC41" i="3" l="1"/>
  <c r="AR40" i="3"/>
  <c r="AD52" i="13" s="1"/>
  <c r="AM40" i="3"/>
  <c r="AB52" i="13" s="1"/>
  <c r="AR38" i="3"/>
  <c r="AD26" i="13" s="1"/>
  <c r="AM38" i="3"/>
  <c r="AB26" i="13" s="1"/>
  <c r="AH40" i="3"/>
  <c r="AH39" i="3"/>
  <c r="AH38" i="3"/>
  <c r="AX40" i="3" l="1"/>
  <c r="AH52" i="13" s="1"/>
  <c r="AA52" i="13"/>
  <c r="AX38" i="3"/>
  <c r="AH26" i="13" s="1"/>
  <c r="AX39" i="3"/>
  <c r="AH51" i="13" s="1"/>
  <c r="O41" i="15"/>
  <c r="N41" i="3" s="1"/>
  <c r="BA37" i="3"/>
  <c r="AF25" i="13" s="1"/>
  <c r="AV37" i="3"/>
  <c r="R37" i="3"/>
  <c r="O37" i="3"/>
  <c r="X37" i="3" s="1"/>
  <c r="M25" i="13"/>
  <c r="L25" i="13"/>
  <c r="K25" i="13"/>
  <c r="J25" i="13"/>
  <c r="I25" i="13"/>
  <c r="H25" i="13"/>
  <c r="G25" i="13"/>
  <c r="D37" i="3"/>
  <c r="D25" i="13" s="1"/>
  <c r="C37" i="3"/>
  <c r="C25" i="13" s="1"/>
  <c r="S37" i="3" l="1"/>
  <c r="W25" i="13" s="1"/>
  <c r="V25" i="13"/>
  <c r="O25" i="13"/>
  <c r="P25" i="13"/>
  <c r="AN37" i="3"/>
  <c r="AC25" i="13" s="1"/>
  <c r="N25" i="13"/>
  <c r="AO37" i="3"/>
  <c r="Y37" i="3"/>
  <c r="Q25" i="13" s="1"/>
  <c r="Z37" i="3"/>
  <c r="R25" i="13" s="1"/>
  <c r="AP37" i="3"/>
  <c r="AL37" i="3"/>
  <c r="V37" i="3"/>
  <c r="AT37" i="3"/>
  <c r="AW37" i="3" s="1"/>
  <c r="AG25" i="13" s="1"/>
  <c r="W37" i="3"/>
  <c r="AA37" i="3"/>
  <c r="S25" i="13" s="1"/>
  <c r="AI37" i="3"/>
  <c r="AQ37" i="3"/>
  <c r="AJ37" i="3"/>
  <c r="AK37" i="3"/>
  <c r="AC37" i="3" l="1"/>
  <c r="AA25" i="13" s="1"/>
  <c r="AG37" i="3"/>
  <c r="AX41" i="3"/>
  <c r="AD37" i="3"/>
  <c r="AF37" i="3"/>
  <c r="AE37" i="3"/>
  <c r="AR37" i="3"/>
  <c r="AD25" i="13" s="1"/>
  <c r="AM37" i="3"/>
  <c r="AB25" i="13" s="1"/>
  <c r="BA5" i="3"/>
  <c r="BA6" i="3"/>
  <c r="BA7" i="3"/>
  <c r="BA8" i="3"/>
  <c r="BA9" i="3"/>
  <c r="BA10" i="3"/>
  <c r="BA11" i="3"/>
  <c r="BA12" i="3"/>
  <c r="BA13" i="3"/>
  <c r="BA14" i="3"/>
  <c r="BA15" i="3"/>
  <c r="BA16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4" i="3"/>
  <c r="F25" i="9" s="1"/>
  <c r="O36" i="15"/>
  <c r="N36" i="3" s="1"/>
  <c r="O29" i="15"/>
  <c r="N11" i="3" s="1"/>
  <c r="O5" i="15"/>
  <c r="N5" i="3" s="1"/>
  <c r="O6" i="15"/>
  <c r="N12" i="3" s="1"/>
  <c r="O7" i="15"/>
  <c r="N6" i="3" s="1"/>
  <c r="O8" i="15"/>
  <c r="N7" i="3" s="1"/>
  <c r="O9" i="15"/>
  <c r="N13" i="3" s="1"/>
  <c r="O10" i="15"/>
  <c r="N18" i="3" s="1"/>
  <c r="O11" i="15"/>
  <c r="N19" i="3" s="1"/>
  <c r="O12" i="15"/>
  <c r="N35" i="3" s="1"/>
  <c r="O13" i="15"/>
  <c r="N14" i="3" s="1"/>
  <c r="O14" i="15"/>
  <c r="N8" i="3" s="1"/>
  <c r="O15" i="15"/>
  <c r="N9" i="3" s="1"/>
  <c r="O16" i="15"/>
  <c r="N20" i="3" s="1"/>
  <c r="O17" i="15"/>
  <c r="N22" i="3" s="1"/>
  <c r="O18" i="15"/>
  <c r="N23" i="3" s="1"/>
  <c r="O19" i="15"/>
  <c r="N24" i="3" s="1"/>
  <c r="O20" i="15"/>
  <c r="N25" i="3" s="1"/>
  <c r="O21" i="15"/>
  <c r="N15" i="3" s="1"/>
  <c r="O22" i="15"/>
  <c r="N21" i="3" s="1"/>
  <c r="O23" i="15"/>
  <c r="N26" i="3" s="1"/>
  <c r="O24" i="15"/>
  <c r="N27" i="3" s="1"/>
  <c r="O25" i="15"/>
  <c r="N34" i="3" s="1"/>
  <c r="O26" i="15"/>
  <c r="N28" i="3" s="1"/>
  <c r="O27" i="15"/>
  <c r="N29" i="3" s="1"/>
  <c r="O28" i="15"/>
  <c r="N10" i="3" s="1"/>
  <c r="O4" i="15"/>
  <c r="N4" i="3" s="1"/>
  <c r="BA47" i="3" l="1"/>
  <c r="AH37" i="3"/>
  <c r="AK63" i="7"/>
  <c r="AK75" i="7"/>
  <c r="AK73" i="7"/>
  <c r="R17" i="3" s="1"/>
  <c r="AK71" i="7"/>
  <c r="AK69" i="7"/>
  <c r="AK67" i="7"/>
  <c r="AK65" i="7"/>
  <c r="AK61" i="7"/>
  <c r="AK59" i="7"/>
  <c r="AK57" i="7"/>
  <c r="R34" i="3" s="1"/>
  <c r="S34" i="3" s="1"/>
  <c r="AK55" i="7"/>
  <c r="AK53" i="7"/>
  <c r="AK51" i="7"/>
  <c r="AK45" i="7"/>
  <c r="S17" i="3" l="1"/>
  <c r="W33" i="13" s="1"/>
  <c r="V33" i="13"/>
  <c r="AX37" i="3"/>
  <c r="AH25" i="13" s="1"/>
  <c r="R36" i="3"/>
  <c r="AV36" i="3"/>
  <c r="C36" i="3"/>
  <c r="D36" i="3"/>
  <c r="AA36" i="3" l="1"/>
  <c r="AG17" i="3"/>
  <c r="AH17" i="3" s="1"/>
  <c r="S36" i="3"/>
  <c r="AN36" i="3"/>
  <c r="AT36" i="3"/>
  <c r="AW36" i="3" s="1"/>
  <c r="AF36" i="3"/>
  <c r="AN75" i="7"/>
  <c r="AM75" i="7"/>
  <c r="O36" i="3"/>
  <c r="P36" i="3" l="1"/>
  <c r="Q36" i="3" s="1"/>
  <c r="AP75" i="7"/>
  <c r="AG36" i="3"/>
  <c r="AJ36" i="3"/>
  <c r="AI36" i="3"/>
  <c r="V36" i="3"/>
  <c r="W36" i="3"/>
  <c r="AL36" i="3"/>
  <c r="AQ36" i="3"/>
  <c r="X36" i="3"/>
  <c r="AP36" i="3"/>
  <c r="Z36" i="3"/>
  <c r="AK36" i="3"/>
  <c r="Y36" i="3"/>
  <c r="AO36" i="3"/>
  <c r="AC36" i="3" l="1"/>
  <c r="AD36" i="3"/>
  <c r="AM36" i="3"/>
  <c r="AE36" i="3"/>
  <c r="AR36" i="3"/>
  <c r="AH36" i="3" l="1"/>
  <c r="AX36" i="3" s="1"/>
  <c r="AV5" i="3" l="1"/>
  <c r="AV6" i="3"/>
  <c r="AV7" i="3"/>
  <c r="AV8" i="3"/>
  <c r="AV9" i="3"/>
  <c r="AV10" i="3"/>
  <c r="AV11" i="3"/>
  <c r="AV12" i="3"/>
  <c r="AV13" i="3"/>
  <c r="AV14" i="3"/>
  <c r="AV15" i="3"/>
  <c r="AV16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D5" i="3"/>
  <c r="D6" i="3"/>
  <c r="D7" i="3"/>
  <c r="D8" i="3"/>
  <c r="D9" i="3"/>
  <c r="D10" i="3"/>
  <c r="D11" i="3"/>
  <c r="D12" i="3"/>
  <c r="D13" i="3"/>
  <c r="D14" i="3"/>
  <c r="D15" i="3"/>
  <c r="D16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4" i="3"/>
  <c r="V4" i="3" s="1"/>
  <c r="AA35" i="3" l="1"/>
  <c r="AT35" i="3"/>
  <c r="AW35" i="3" s="1"/>
  <c r="AA27" i="3"/>
  <c r="AT27" i="3"/>
  <c r="AW27" i="3" s="1"/>
  <c r="AA19" i="3"/>
  <c r="AT19" i="3"/>
  <c r="AW19" i="3" s="1"/>
  <c r="AT34" i="3"/>
  <c r="AW34" i="3" s="1"/>
  <c r="AT30" i="3"/>
  <c r="AW30" i="3" s="1"/>
  <c r="AA26" i="3"/>
  <c r="AT26" i="3"/>
  <c r="AW26" i="3" s="1"/>
  <c r="AT22" i="3"/>
  <c r="AW22" i="3" s="1"/>
  <c r="AA22" i="3"/>
  <c r="AT18" i="3"/>
  <c r="AW18" i="3" s="1"/>
  <c r="AA18" i="3"/>
  <c r="AA13" i="3"/>
  <c r="AT13" i="3"/>
  <c r="AW13" i="3" s="1"/>
  <c r="AA9" i="3"/>
  <c r="AT9" i="3"/>
  <c r="AW9" i="3" s="1"/>
  <c r="AA5" i="3"/>
  <c r="AT5" i="3"/>
  <c r="AW5" i="3" s="1"/>
  <c r="AT33" i="3"/>
  <c r="AW33" i="3" s="1"/>
  <c r="AA33" i="3"/>
  <c r="AA29" i="3"/>
  <c r="AT29" i="3"/>
  <c r="AW29" i="3" s="1"/>
  <c r="AA25" i="3"/>
  <c r="AT25" i="3"/>
  <c r="AW25" i="3" s="1"/>
  <c r="AA21" i="3"/>
  <c r="AT21" i="3"/>
  <c r="AW21" i="3" s="1"/>
  <c r="AA16" i="3"/>
  <c r="AT16" i="3"/>
  <c r="AW16" i="3" s="1"/>
  <c r="AA12" i="3"/>
  <c r="AT12" i="3"/>
  <c r="AW12" i="3" s="1"/>
  <c r="AT8" i="3"/>
  <c r="AW8" i="3" s="1"/>
  <c r="AA8" i="3"/>
  <c r="AA32" i="3"/>
  <c r="AT32" i="3"/>
  <c r="AW32" i="3" s="1"/>
  <c r="AA28" i="3"/>
  <c r="AT28" i="3"/>
  <c r="AW28" i="3" s="1"/>
  <c r="AA24" i="3"/>
  <c r="AT24" i="3"/>
  <c r="AW24" i="3" s="1"/>
  <c r="AA31" i="3"/>
  <c r="AT31" i="3"/>
  <c r="AW31" i="3" s="1"/>
  <c r="AA23" i="3"/>
  <c r="AT23" i="3"/>
  <c r="AW23" i="3" s="1"/>
  <c r="AA14" i="3"/>
  <c r="AT14" i="3"/>
  <c r="AW14" i="3" s="1"/>
  <c r="AA10" i="3"/>
  <c r="AT10" i="3"/>
  <c r="AW10" i="3" s="1"/>
  <c r="AT6" i="3"/>
  <c r="AW6" i="3" s="1"/>
  <c r="AA6" i="3"/>
  <c r="AT20" i="3"/>
  <c r="AW20" i="3" s="1"/>
  <c r="AA20" i="3"/>
  <c r="AA15" i="3"/>
  <c r="AT15" i="3"/>
  <c r="AW15" i="3" s="1"/>
  <c r="AA11" i="3"/>
  <c r="AT11" i="3"/>
  <c r="AW11" i="3" s="1"/>
  <c r="AT7" i="3"/>
  <c r="AW7" i="3" s="1"/>
  <c r="AA7" i="3"/>
  <c r="AA30" i="3"/>
  <c r="AA34" i="3"/>
  <c r="B54" i="13"/>
  <c r="C30" i="3"/>
  <c r="C31" i="3"/>
  <c r="C32" i="3"/>
  <c r="C33" i="3"/>
  <c r="C34" i="3"/>
  <c r="B47" i="13"/>
  <c r="B48" i="13"/>
  <c r="B49" i="13"/>
  <c r="B17" i="13"/>
  <c r="B19" i="13"/>
  <c r="B20" i="13"/>
  <c r="B21" i="13"/>
  <c r="B22" i="13"/>
  <c r="B23" i="13"/>
  <c r="B24" i="13"/>
  <c r="B28" i="13"/>
  <c r="B29" i="13"/>
  <c r="B30" i="13"/>
  <c r="B31" i="13"/>
  <c r="B32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50" i="13"/>
  <c r="AN73" i="7"/>
  <c r="AP73" i="7" s="1"/>
  <c r="AM73" i="7"/>
  <c r="O33" i="3"/>
  <c r="W33" i="3" s="1"/>
  <c r="O30" i="3"/>
  <c r="Y30" i="3" s="1"/>
  <c r="O16" i="3"/>
  <c r="X16" i="3" s="1"/>
  <c r="AN71" i="7"/>
  <c r="AP71" i="7" s="1"/>
  <c r="AM71" i="7"/>
  <c r="R33" i="3"/>
  <c r="S33" i="3" s="1"/>
  <c r="AN69" i="7"/>
  <c r="AP69" i="7" s="1"/>
  <c r="AM69" i="7"/>
  <c r="R32" i="3"/>
  <c r="S32" i="3" s="1"/>
  <c r="O32" i="3"/>
  <c r="AN67" i="7"/>
  <c r="AP67" i="7" s="1"/>
  <c r="AM67" i="7"/>
  <c r="R31" i="3"/>
  <c r="S31" i="3" s="1"/>
  <c r="O31" i="3"/>
  <c r="W31" i="3" s="1"/>
  <c r="AN65" i="7"/>
  <c r="AP65" i="7" s="1"/>
  <c r="AM65" i="7"/>
  <c r="P30" i="3" s="1"/>
  <c r="Q30" i="3" s="1"/>
  <c r="R30" i="3"/>
  <c r="S30" i="3" s="1"/>
  <c r="AN63" i="7"/>
  <c r="AP63" i="7" s="1"/>
  <c r="AM63" i="7"/>
  <c r="R16" i="3"/>
  <c r="S16" i="3" s="1"/>
  <c r="AN61" i="7"/>
  <c r="AP61" i="7" s="1"/>
  <c r="AM61" i="7"/>
  <c r="R11" i="3"/>
  <c r="S11" i="3" s="1"/>
  <c r="O11" i="3"/>
  <c r="C11" i="3"/>
  <c r="C16" i="3"/>
  <c r="O35" i="15"/>
  <c r="N17" i="3" s="1"/>
  <c r="M33" i="13" s="1"/>
  <c r="O34" i="15"/>
  <c r="N33" i="3" s="1"/>
  <c r="O33" i="15"/>
  <c r="N32" i="3" s="1"/>
  <c r="O32" i="15"/>
  <c r="N31" i="3" s="1"/>
  <c r="O31" i="15"/>
  <c r="N30" i="3" s="1"/>
  <c r="O30" i="15"/>
  <c r="N16" i="3" s="1"/>
  <c r="H34" i="15"/>
  <c r="G33" i="3" s="1"/>
  <c r="H33" i="15"/>
  <c r="G32" i="3" s="1"/>
  <c r="H32" i="15"/>
  <c r="G31" i="3" s="1"/>
  <c r="H31" i="15"/>
  <c r="G30" i="3" s="1"/>
  <c r="H30" i="15"/>
  <c r="G16" i="3" s="1"/>
  <c r="H29" i="15"/>
  <c r="G11" i="3" s="1"/>
  <c r="AF35" i="3" l="1"/>
  <c r="P17" i="3"/>
  <c r="Q17" i="3" s="1"/>
  <c r="P32" i="3"/>
  <c r="Q32" i="3" s="1"/>
  <c r="U49" i="13" s="1"/>
  <c r="W11" i="3"/>
  <c r="X11" i="3"/>
  <c r="P24" i="13" s="1"/>
  <c r="P33" i="3"/>
  <c r="Q33" i="3" s="1"/>
  <c r="U50" i="13" s="1"/>
  <c r="P31" i="3"/>
  <c r="Q31" i="3" s="1"/>
  <c r="U48" i="13" s="1"/>
  <c r="P11" i="3"/>
  <c r="Q11" i="3" s="1"/>
  <c r="U24" i="13" s="1"/>
  <c r="P16" i="3"/>
  <c r="Q16" i="3" s="1"/>
  <c r="U32" i="13" s="1"/>
  <c r="X30" i="13"/>
  <c r="Y30" i="13"/>
  <c r="Z30" i="13"/>
  <c r="AF30" i="13"/>
  <c r="AG30" i="13"/>
  <c r="S30" i="13"/>
  <c r="V50" i="13"/>
  <c r="W50" i="13"/>
  <c r="X50" i="13"/>
  <c r="Y50" i="13"/>
  <c r="Z50" i="13"/>
  <c r="AF50" i="13"/>
  <c r="S50" i="13"/>
  <c r="AG50" i="13"/>
  <c r="AF29" i="13"/>
  <c r="AG29" i="13"/>
  <c r="S29" i="13"/>
  <c r="X29" i="13"/>
  <c r="Z29" i="13"/>
  <c r="Y29" i="13"/>
  <c r="V24" i="13"/>
  <c r="W24" i="13"/>
  <c r="X24" i="13"/>
  <c r="Y24" i="13"/>
  <c r="Z24" i="13"/>
  <c r="AF24" i="13"/>
  <c r="AG24" i="13"/>
  <c r="S24" i="13"/>
  <c r="AF23" i="13"/>
  <c r="AG23" i="13"/>
  <c r="S23" i="13"/>
  <c r="X23" i="13"/>
  <c r="Z23" i="13"/>
  <c r="Y23" i="13"/>
  <c r="S22" i="13"/>
  <c r="X22" i="13"/>
  <c r="Y22" i="13"/>
  <c r="Z22" i="13"/>
  <c r="AF22" i="13"/>
  <c r="AG22" i="13"/>
  <c r="X42" i="13"/>
  <c r="Y42" i="13"/>
  <c r="Z42" i="13"/>
  <c r="AF42" i="13"/>
  <c r="S42" i="13"/>
  <c r="AG42" i="13"/>
  <c r="Z41" i="13"/>
  <c r="AF41" i="13"/>
  <c r="AG41" i="13"/>
  <c r="S41" i="13"/>
  <c r="X41" i="13"/>
  <c r="Y41" i="13"/>
  <c r="AF20" i="13"/>
  <c r="AG20" i="13"/>
  <c r="S20" i="13"/>
  <c r="X20" i="13"/>
  <c r="Y20" i="13"/>
  <c r="Z20" i="13"/>
  <c r="AF46" i="13"/>
  <c r="AG46" i="13"/>
  <c r="S46" i="13"/>
  <c r="X46" i="13"/>
  <c r="Z46" i="13"/>
  <c r="Y46" i="13"/>
  <c r="S45" i="13"/>
  <c r="X45" i="13"/>
  <c r="Y45" i="13"/>
  <c r="Z45" i="13"/>
  <c r="AF45" i="13"/>
  <c r="AG45" i="13"/>
  <c r="AF43" i="13"/>
  <c r="AG43" i="13"/>
  <c r="S43" i="13"/>
  <c r="X43" i="13"/>
  <c r="Y43" i="13"/>
  <c r="Z43" i="13"/>
  <c r="X21" i="13"/>
  <c r="Y21" i="13"/>
  <c r="Z21" i="13"/>
  <c r="AG21" i="13"/>
  <c r="AF21" i="13"/>
  <c r="S21" i="13"/>
  <c r="AF40" i="13"/>
  <c r="AG40" i="13"/>
  <c r="S40" i="13"/>
  <c r="X40" i="13"/>
  <c r="Y40" i="13"/>
  <c r="Z40" i="13"/>
  <c r="AG19" i="13"/>
  <c r="AF19" i="13"/>
  <c r="Z19" i="13"/>
  <c r="Y19" i="13"/>
  <c r="X19" i="13"/>
  <c r="S19" i="13"/>
  <c r="AG28" i="13"/>
  <c r="AF28" i="13"/>
  <c r="Z28" i="13"/>
  <c r="X28" i="13"/>
  <c r="Y28" i="13"/>
  <c r="S28" i="13"/>
  <c r="W54" i="13"/>
  <c r="V54" i="13"/>
  <c r="S54" i="13"/>
  <c r="Z54" i="13"/>
  <c r="AG54" i="13"/>
  <c r="AG53" i="13" s="1"/>
  <c r="AF54" i="13"/>
  <c r="Y54" i="13"/>
  <c r="Y53" i="13" s="1"/>
  <c r="X54" i="13"/>
  <c r="X53" i="13" s="1"/>
  <c r="X44" i="13"/>
  <c r="Y44" i="13"/>
  <c r="Z44" i="13"/>
  <c r="AF44" i="13"/>
  <c r="AG44" i="13"/>
  <c r="S44" i="13"/>
  <c r="X39" i="13"/>
  <c r="Y39" i="13"/>
  <c r="S39" i="13"/>
  <c r="Z39" i="13"/>
  <c r="AF39" i="13"/>
  <c r="AG39" i="13"/>
  <c r="AF17" i="13"/>
  <c r="AG17" i="13"/>
  <c r="S17" i="13"/>
  <c r="X17" i="13"/>
  <c r="Y17" i="13"/>
  <c r="Z17" i="13"/>
  <c r="AF38" i="13"/>
  <c r="AG38" i="13"/>
  <c r="S38" i="13"/>
  <c r="X38" i="13"/>
  <c r="Z38" i="13"/>
  <c r="Y38" i="13"/>
  <c r="Z49" i="13"/>
  <c r="AF49" i="13"/>
  <c r="AG49" i="13"/>
  <c r="S49" i="13"/>
  <c r="V49" i="13"/>
  <c r="X49" i="13"/>
  <c r="Y49" i="13"/>
  <c r="W49" i="13"/>
  <c r="S37" i="13"/>
  <c r="X37" i="13"/>
  <c r="Y37" i="13"/>
  <c r="Z37" i="13"/>
  <c r="AF37" i="13"/>
  <c r="AG37" i="13"/>
  <c r="AF48" i="13"/>
  <c r="AG48" i="13"/>
  <c r="S48" i="13"/>
  <c r="V48" i="13"/>
  <c r="W48" i="13"/>
  <c r="X48" i="13"/>
  <c r="Y48" i="13"/>
  <c r="Z48" i="13"/>
  <c r="X36" i="13"/>
  <c r="Y36" i="13"/>
  <c r="Z36" i="13"/>
  <c r="AF36" i="13"/>
  <c r="AG36" i="13"/>
  <c r="S36" i="13"/>
  <c r="V47" i="13"/>
  <c r="W47" i="13"/>
  <c r="X47" i="13"/>
  <c r="Y47" i="13"/>
  <c r="Z47" i="13"/>
  <c r="AC47" i="13"/>
  <c r="AF47" i="13"/>
  <c r="Q47" i="13"/>
  <c r="AG47" i="13"/>
  <c r="T47" i="13"/>
  <c r="U47" i="13"/>
  <c r="S47" i="13"/>
  <c r="S35" i="13"/>
  <c r="AG35" i="13"/>
  <c r="AF35" i="13"/>
  <c r="Z35" i="13"/>
  <c r="Y35" i="13"/>
  <c r="X35" i="13"/>
  <c r="Z32" i="13"/>
  <c r="AF32" i="13"/>
  <c r="AG32" i="13"/>
  <c r="S32" i="13"/>
  <c r="V32" i="13"/>
  <c r="X32" i="13"/>
  <c r="W32" i="13"/>
  <c r="Y32" i="13"/>
  <c r="AF31" i="13"/>
  <c r="AG31" i="13"/>
  <c r="S31" i="13"/>
  <c r="Y31" i="13"/>
  <c r="X31" i="13"/>
  <c r="Z31" i="13"/>
  <c r="AI16" i="3"/>
  <c r="N47" i="3"/>
  <c r="AG33" i="3"/>
  <c r="AI11" i="3"/>
  <c r="V11" i="3"/>
  <c r="AP32" i="3"/>
  <c r="V32" i="3"/>
  <c r="M48" i="13"/>
  <c r="AJ16" i="3"/>
  <c r="V16" i="3"/>
  <c r="AG31" i="3"/>
  <c r="G47" i="13"/>
  <c r="AF7" i="3"/>
  <c r="AF31" i="3"/>
  <c r="AF21" i="3"/>
  <c r="AF22" i="3"/>
  <c r="AF11" i="3"/>
  <c r="AF25" i="3"/>
  <c r="AF24" i="3"/>
  <c r="AF26" i="3"/>
  <c r="AF15" i="3"/>
  <c r="AF29" i="3"/>
  <c r="AF20" i="3"/>
  <c r="AF28" i="3"/>
  <c r="AF33" i="3"/>
  <c r="AF6" i="3"/>
  <c r="AF32" i="3"/>
  <c r="AF19" i="3"/>
  <c r="AF8" i="3"/>
  <c r="AF5" i="3"/>
  <c r="AF27" i="3"/>
  <c r="AF10" i="3"/>
  <c r="AF9" i="3"/>
  <c r="AF14" i="3"/>
  <c r="AF12" i="3"/>
  <c r="AF34" i="3"/>
  <c r="AF13" i="3"/>
  <c r="AF30" i="3"/>
  <c r="AF23" i="3"/>
  <c r="AF16" i="3"/>
  <c r="AF18" i="3"/>
  <c r="O49" i="13"/>
  <c r="O47" i="13"/>
  <c r="O24" i="13"/>
  <c r="O32" i="13"/>
  <c r="O50" i="13"/>
  <c r="E54" i="13"/>
  <c r="D48" i="13"/>
  <c r="E47" i="13"/>
  <c r="J48" i="13"/>
  <c r="W32" i="3"/>
  <c r="W30" i="3"/>
  <c r="W16" i="3"/>
  <c r="AN30" i="3"/>
  <c r="AI30" i="3"/>
  <c r="AN31" i="3"/>
  <c r="AC48" i="13" s="1"/>
  <c r="AI31" i="3"/>
  <c r="AN33" i="3"/>
  <c r="AC50" i="13" s="1"/>
  <c r="AI33" i="3"/>
  <c r="AL33" i="3"/>
  <c r="AL31" i="3"/>
  <c r="AO31" i="3"/>
  <c r="Z31" i="3"/>
  <c r="R48" i="13" s="1"/>
  <c r="AK31" i="3"/>
  <c r="AQ31" i="3"/>
  <c r="AJ31" i="3"/>
  <c r="AP31" i="3"/>
  <c r="X31" i="3"/>
  <c r="P48" i="13" s="1"/>
  <c r="Y31" i="3"/>
  <c r="Q48" i="13" s="1"/>
  <c r="Y16" i="3"/>
  <c r="Q32" i="13" s="1"/>
  <c r="P32" i="13"/>
  <c r="Z16" i="3"/>
  <c r="R32" i="13" s="1"/>
  <c r="Z32" i="3"/>
  <c r="R49" i="13" s="1"/>
  <c r="Y32" i="3"/>
  <c r="Q49" i="13" s="1"/>
  <c r="X32" i="3"/>
  <c r="P49" i="13" s="1"/>
  <c r="Y11" i="3"/>
  <c r="Q24" i="13" s="1"/>
  <c r="Z11" i="3"/>
  <c r="R24" i="13" s="1"/>
  <c r="AL30" i="3"/>
  <c r="AO30" i="3"/>
  <c r="X30" i="3"/>
  <c r="P47" i="13" s="1"/>
  <c r="AK30" i="3"/>
  <c r="AQ30" i="3"/>
  <c r="AJ30" i="3"/>
  <c r="AP30" i="3"/>
  <c r="Z30" i="3"/>
  <c r="R47" i="13" s="1"/>
  <c r="X33" i="3"/>
  <c r="P50" i="13" s="1"/>
  <c r="AJ33" i="3"/>
  <c r="AP33" i="3"/>
  <c r="AO33" i="3"/>
  <c r="AK33" i="3"/>
  <c r="Z33" i="3"/>
  <c r="R50" i="13" s="1"/>
  <c r="AQ33" i="3"/>
  <c r="Y33" i="3"/>
  <c r="Q50" i="13" s="1"/>
  <c r="C48" i="13"/>
  <c r="N48" i="13"/>
  <c r="L47" i="13"/>
  <c r="K48" i="13"/>
  <c r="N47" i="13"/>
  <c r="I48" i="13"/>
  <c r="J47" i="13"/>
  <c r="F48" i="13"/>
  <c r="F47" i="13"/>
  <c r="G48" i="13"/>
  <c r="H47" i="13"/>
  <c r="E48" i="13"/>
  <c r="D47" i="13"/>
  <c r="F54" i="13"/>
  <c r="D54" i="13"/>
  <c r="C49" i="13"/>
  <c r="M49" i="13"/>
  <c r="I49" i="13"/>
  <c r="E49" i="13"/>
  <c r="L48" i="13"/>
  <c r="H48" i="13"/>
  <c r="K47" i="13"/>
  <c r="C47" i="13"/>
  <c r="J49" i="13"/>
  <c r="F49" i="13"/>
  <c r="L49" i="13"/>
  <c r="H49" i="13"/>
  <c r="D49" i="13"/>
  <c r="K49" i="13"/>
  <c r="G49" i="13"/>
  <c r="M47" i="13"/>
  <c r="I47" i="13"/>
  <c r="I50" i="13"/>
  <c r="C50" i="13"/>
  <c r="E50" i="13"/>
  <c r="M50" i="13"/>
  <c r="K50" i="13"/>
  <c r="G50" i="13"/>
  <c r="D50" i="13"/>
  <c r="H50" i="13"/>
  <c r="L50" i="13"/>
  <c r="F50" i="13"/>
  <c r="J50" i="13"/>
  <c r="N50" i="13"/>
  <c r="F5" i="3"/>
  <c r="AV4" i="3"/>
  <c r="AV47" i="3" s="1"/>
  <c r="H5" i="15"/>
  <c r="G5" i="3" s="1"/>
  <c r="H6" i="15"/>
  <c r="G12" i="3" s="1"/>
  <c r="H7" i="15"/>
  <c r="G6" i="3" s="1"/>
  <c r="H8" i="15"/>
  <c r="G7" i="3" s="1"/>
  <c r="H9" i="15"/>
  <c r="G13" i="3" s="1"/>
  <c r="H10" i="15"/>
  <c r="G18" i="3" s="1"/>
  <c r="H11" i="15"/>
  <c r="G19" i="3" s="1"/>
  <c r="H12" i="15"/>
  <c r="G35" i="3" s="1"/>
  <c r="H13" i="15"/>
  <c r="G14" i="3" s="1"/>
  <c r="H14" i="15"/>
  <c r="G8" i="3" s="1"/>
  <c r="H15" i="15"/>
  <c r="G9" i="3" s="1"/>
  <c r="H16" i="15"/>
  <c r="G20" i="3" s="1"/>
  <c r="H17" i="15"/>
  <c r="G22" i="3" s="1"/>
  <c r="H18" i="15"/>
  <c r="G23" i="3" s="1"/>
  <c r="H19" i="15"/>
  <c r="G24" i="3" s="1"/>
  <c r="H20" i="15"/>
  <c r="G25" i="3" s="1"/>
  <c r="H21" i="15"/>
  <c r="G15" i="3" s="1"/>
  <c r="H22" i="15"/>
  <c r="G21" i="3" s="1"/>
  <c r="H23" i="15"/>
  <c r="G26" i="3" s="1"/>
  <c r="H24" i="15"/>
  <c r="G27" i="3" s="1"/>
  <c r="H25" i="15"/>
  <c r="G34" i="3" s="1"/>
  <c r="H26" i="15"/>
  <c r="G28" i="3" s="1"/>
  <c r="H27" i="15"/>
  <c r="G29" i="3" s="1"/>
  <c r="H28" i="15"/>
  <c r="G10" i="3" s="1"/>
  <c r="H4" i="15"/>
  <c r="G4" i="3" s="1"/>
  <c r="C5" i="3"/>
  <c r="C6" i="3"/>
  <c r="C7" i="3"/>
  <c r="C8" i="3"/>
  <c r="C9" i="3"/>
  <c r="C10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8" i="3"/>
  <c r="C29" i="3"/>
  <c r="C54" i="13"/>
  <c r="C35" i="3"/>
  <c r="C4" i="3"/>
  <c r="I54" i="13"/>
  <c r="I53" i="13" s="1"/>
  <c r="J54" i="13"/>
  <c r="J53" i="13" s="1"/>
  <c r="K54" i="13"/>
  <c r="K53" i="13" s="1"/>
  <c r="F4" i="3"/>
  <c r="E4" i="3"/>
  <c r="T49" i="13" l="1"/>
  <c r="T33" i="13"/>
  <c r="AC16" i="3"/>
  <c r="AC32" i="3"/>
  <c r="AC11" i="3"/>
  <c r="U33" i="13"/>
  <c r="AC17" i="3"/>
  <c r="AX17" i="3" s="1"/>
  <c r="AH33" i="13" s="1"/>
  <c r="S27" i="13"/>
  <c r="X27" i="13"/>
  <c r="Z27" i="13"/>
  <c r="AF27" i="13"/>
  <c r="AG27" i="13"/>
  <c r="Y27" i="13"/>
  <c r="T50" i="13"/>
  <c r="T32" i="13"/>
  <c r="T24" i="13"/>
  <c r="T48" i="13"/>
  <c r="G47" i="3"/>
  <c r="Y18" i="13"/>
  <c r="X34" i="13"/>
  <c r="Y34" i="13"/>
  <c r="X18" i="13"/>
  <c r="AS17" i="3"/>
  <c r="AE33" i="13" s="1"/>
  <c r="AS43" i="3"/>
  <c r="AS42" i="3"/>
  <c r="O48" i="13"/>
  <c r="AQ11" i="3"/>
  <c r="V33" i="3"/>
  <c r="AC33" i="3" s="1"/>
  <c r="V30" i="3"/>
  <c r="AC30" i="3" s="1"/>
  <c r="V31" i="3"/>
  <c r="AC31" i="3" s="1"/>
  <c r="AK16" i="3"/>
  <c r="AP16" i="3"/>
  <c r="AL16" i="3"/>
  <c r="AQ16" i="3"/>
  <c r="AN16" i="3"/>
  <c r="AC32" i="13" s="1"/>
  <c r="AG30" i="3"/>
  <c r="AO16" i="3"/>
  <c r="AN20" i="3"/>
  <c r="AC37" i="13" s="1"/>
  <c r="AN8" i="3"/>
  <c r="AC21" i="13" s="1"/>
  <c r="AK11" i="3"/>
  <c r="AJ32" i="3"/>
  <c r="AN11" i="3"/>
  <c r="AC24" i="13" s="1"/>
  <c r="AN29" i="3"/>
  <c r="AC46" i="13" s="1"/>
  <c r="AL11" i="3"/>
  <c r="N54" i="13"/>
  <c r="N53" i="13" s="1"/>
  <c r="H54" i="13"/>
  <c r="H53" i="13" s="1"/>
  <c r="AN13" i="3"/>
  <c r="AC29" i="13" s="1"/>
  <c r="AN18" i="3"/>
  <c r="AC35" i="13" s="1"/>
  <c r="AN27" i="3"/>
  <c r="AC44" i="13" s="1"/>
  <c r="AN7" i="3"/>
  <c r="AC20" i="13" s="1"/>
  <c r="AP11" i="3"/>
  <c r="AG32" i="3"/>
  <c r="AN26" i="3"/>
  <c r="AC43" i="13" s="1"/>
  <c r="AI32" i="3"/>
  <c r="AN21" i="3"/>
  <c r="AC38" i="13" s="1"/>
  <c r="AN12" i="3"/>
  <c r="AC28" i="13" s="1"/>
  <c r="AO11" i="3"/>
  <c r="AN32" i="3"/>
  <c r="AC49" i="13" s="1"/>
  <c r="AG16" i="3"/>
  <c r="N49" i="13"/>
  <c r="AN15" i="3"/>
  <c r="AC31" i="13" s="1"/>
  <c r="AN5" i="3"/>
  <c r="AC17" i="13" s="1"/>
  <c r="AK32" i="3"/>
  <c r="AJ11" i="3"/>
  <c r="AN25" i="3"/>
  <c r="AC42" i="13" s="1"/>
  <c r="AN14" i="3"/>
  <c r="AC30" i="13" s="1"/>
  <c r="AN24" i="3"/>
  <c r="AC41" i="13" s="1"/>
  <c r="AQ32" i="3"/>
  <c r="AG11" i="3"/>
  <c r="AN19" i="3"/>
  <c r="AC36" i="13" s="1"/>
  <c r="AN23" i="3"/>
  <c r="AC40" i="13" s="1"/>
  <c r="AL32" i="3"/>
  <c r="AN35" i="3"/>
  <c r="AN22" i="3"/>
  <c r="AC39" i="13" s="1"/>
  <c r="AO32" i="3"/>
  <c r="AN9" i="3"/>
  <c r="AC22" i="13" s="1"/>
  <c r="AE30" i="3"/>
  <c r="AE33" i="3"/>
  <c r="AE11" i="3"/>
  <c r="AE32" i="3"/>
  <c r="AE31" i="3"/>
  <c r="AE16" i="3"/>
  <c r="AD30" i="3"/>
  <c r="AD32" i="3"/>
  <c r="AD33" i="3"/>
  <c r="AD11" i="3"/>
  <c r="AD16" i="3"/>
  <c r="AD31" i="3"/>
  <c r="AS37" i="3"/>
  <c r="AE25" i="13" s="1"/>
  <c r="AS41" i="3"/>
  <c r="AS39" i="3"/>
  <c r="AE51" i="13" s="1"/>
  <c r="AS40" i="3"/>
  <c r="AE52" i="13" s="1"/>
  <c r="AS38" i="3"/>
  <c r="AE26" i="13" s="1"/>
  <c r="AS36" i="3"/>
  <c r="AM30" i="3"/>
  <c r="AB47" i="13" s="1"/>
  <c r="AM31" i="3"/>
  <c r="AB48" i="13" s="1"/>
  <c r="AM33" i="3"/>
  <c r="AB50" i="13" s="1"/>
  <c r="AR31" i="3"/>
  <c r="AD48" i="13" s="1"/>
  <c r="AR33" i="3"/>
  <c r="AD50" i="13" s="1"/>
  <c r="AR30" i="3"/>
  <c r="AD47" i="13" s="1"/>
  <c r="AN10" i="3"/>
  <c r="AC23" i="13" s="1"/>
  <c r="AS8" i="3"/>
  <c r="AE21" i="13" s="1"/>
  <c r="AS9" i="3"/>
  <c r="AE22" i="13" s="1"/>
  <c r="AS10" i="3"/>
  <c r="AE23" i="13" s="1"/>
  <c r="AS11" i="3"/>
  <c r="AE24" i="13" s="1"/>
  <c r="AS12" i="3"/>
  <c r="AE28" i="13" s="1"/>
  <c r="AS13" i="3"/>
  <c r="AE29" i="13" s="1"/>
  <c r="AS14" i="3"/>
  <c r="AE30" i="13" s="1"/>
  <c r="AS15" i="3"/>
  <c r="AE31" i="13" s="1"/>
  <c r="AS5" i="3"/>
  <c r="AE17" i="13" s="1"/>
  <c r="AS16" i="3"/>
  <c r="AE32" i="13" s="1"/>
  <c r="AS18" i="3"/>
  <c r="AE35" i="13" s="1"/>
  <c r="AS6" i="3"/>
  <c r="AE19" i="13" s="1"/>
  <c r="AS7" i="3"/>
  <c r="AE20" i="13" s="1"/>
  <c r="AS19" i="3"/>
  <c r="AE36" i="13" s="1"/>
  <c r="AS23" i="3"/>
  <c r="AE40" i="13" s="1"/>
  <c r="AS24" i="3"/>
  <c r="AE41" i="13" s="1"/>
  <c r="AS25" i="3"/>
  <c r="AE42" i="13" s="1"/>
  <c r="AS26" i="3"/>
  <c r="AE43" i="13" s="1"/>
  <c r="AS27" i="3"/>
  <c r="AE44" i="13" s="1"/>
  <c r="AS28" i="3"/>
  <c r="AE45" i="13" s="1"/>
  <c r="AS35" i="3"/>
  <c r="AS21" i="3"/>
  <c r="AE38" i="13" s="1"/>
  <c r="AS29" i="3"/>
  <c r="AE46" i="13" s="1"/>
  <c r="AS34" i="3"/>
  <c r="AE54" i="13" s="1"/>
  <c r="AS31" i="3"/>
  <c r="AE48" i="13" s="1"/>
  <c r="AS32" i="3"/>
  <c r="AE49" i="13" s="1"/>
  <c r="AS20" i="3"/>
  <c r="AE37" i="13" s="1"/>
  <c r="AS22" i="3"/>
  <c r="AE39" i="13" s="1"/>
  <c r="AS30" i="3"/>
  <c r="AE47" i="13" s="1"/>
  <c r="AS33" i="3"/>
  <c r="AE50" i="13" s="1"/>
  <c r="AN28" i="3"/>
  <c r="AC45" i="13" s="1"/>
  <c r="AS4" i="3"/>
  <c r="F23" i="9" s="1"/>
  <c r="AN4" i="3"/>
  <c r="L54" i="13"/>
  <c r="L53" i="13" s="1"/>
  <c r="AA4" i="3"/>
  <c r="AA47" i="3" s="1"/>
  <c r="AC27" i="13" l="1"/>
  <c r="AE27" i="13"/>
  <c r="AY43" i="3"/>
  <c r="AY42" i="3"/>
  <c r="AA33" i="13"/>
  <c r="AY17" i="3"/>
  <c r="AZ17" i="3" s="1"/>
  <c r="AS47" i="3"/>
  <c r="AR11" i="3"/>
  <c r="AD24" i="13" s="1"/>
  <c r="AA32" i="13"/>
  <c r="AA48" i="13"/>
  <c r="AM16" i="3"/>
  <c r="AB32" i="13" s="1"/>
  <c r="AR16" i="3"/>
  <c r="AD32" i="13" s="1"/>
  <c r="AR32" i="3"/>
  <c r="AD49" i="13" s="1"/>
  <c r="AM11" i="3"/>
  <c r="AB24" i="13" s="1"/>
  <c r="AM32" i="3"/>
  <c r="AB49" i="13" s="1"/>
  <c r="AG34" i="3"/>
  <c r="G54" i="13"/>
  <c r="G53" i="13" s="1"/>
  <c r="AH32" i="3"/>
  <c r="AN6" i="3"/>
  <c r="AN34" i="3"/>
  <c r="AC54" i="13" s="1"/>
  <c r="AA50" i="13"/>
  <c r="AH31" i="3"/>
  <c r="AH11" i="3"/>
  <c r="AH30" i="3"/>
  <c r="AH16" i="3"/>
  <c r="AH33" i="3"/>
  <c r="AY41" i="3"/>
  <c r="AY38" i="3"/>
  <c r="AY37" i="3"/>
  <c r="AY40" i="3"/>
  <c r="AY39" i="3"/>
  <c r="AI51" i="13" s="1"/>
  <c r="AA49" i="13"/>
  <c r="AA47" i="13"/>
  <c r="M54" i="13"/>
  <c r="M53" i="13" s="1"/>
  <c r="AY36" i="3"/>
  <c r="AF4" i="3"/>
  <c r="AF47" i="3" s="1"/>
  <c r="AT4" i="3"/>
  <c r="AT47" i="3" s="1"/>
  <c r="AZ43" i="3" l="1"/>
  <c r="AZ42" i="3"/>
  <c r="AN47" i="3"/>
  <c r="AC19" i="13"/>
  <c r="AI33" i="13"/>
  <c r="BB17" i="3"/>
  <c r="AJ33" i="13"/>
  <c r="AZ40" i="3"/>
  <c r="AJ52" i="13" s="1"/>
  <c r="AI52" i="13"/>
  <c r="AZ37" i="3"/>
  <c r="AJ25" i="13" s="1"/>
  <c r="AI25" i="13"/>
  <c r="AZ38" i="3"/>
  <c r="AJ26" i="13" s="1"/>
  <c r="AI26" i="13"/>
  <c r="AX11" i="3"/>
  <c r="AH24" i="13" s="1"/>
  <c r="AA24" i="13"/>
  <c r="BB43" i="3"/>
  <c r="AX16" i="3"/>
  <c r="AH32" i="13" s="1"/>
  <c r="AX32" i="3"/>
  <c r="AH49" i="13" s="1"/>
  <c r="AX31" i="3"/>
  <c r="AH48" i="13" s="1"/>
  <c r="AX30" i="3"/>
  <c r="AX33" i="3"/>
  <c r="AH50" i="13" s="1"/>
  <c r="AZ41" i="3"/>
  <c r="AZ39" i="3"/>
  <c r="AJ51" i="13" s="1"/>
  <c r="AZ36" i="3"/>
  <c r="AW4" i="3"/>
  <c r="AW47" i="3" s="1"/>
  <c r="BB42" i="3" l="1"/>
  <c r="AK33" i="13"/>
  <c r="F35" i="16"/>
  <c r="F43" i="16"/>
  <c r="BB38" i="3"/>
  <c r="AY11" i="3"/>
  <c r="AI24" i="13" s="1"/>
  <c r="BB37" i="3"/>
  <c r="AY30" i="3"/>
  <c r="AH47" i="13"/>
  <c r="BB40" i="3"/>
  <c r="F40" i="16" s="1"/>
  <c r="AY32" i="3"/>
  <c r="AY33" i="3"/>
  <c r="AY16" i="3"/>
  <c r="BB41" i="3"/>
  <c r="F41" i="16" s="1"/>
  <c r="AY31" i="3"/>
  <c r="BB39" i="3"/>
  <c r="BB36" i="3"/>
  <c r="F36" i="16" s="1"/>
  <c r="F42" i="16" l="1"/>
  <c r="AK51" i="13"/>
  <c r="F39" i="16"/>
  <c r="AK26" i="13"/>
  <c r="F38" i="16"/>
  <c r="AK25" i="13"/>
  <c r="F37" i="16"/>
  <c r="AK52" i="13"/>
  <c r="AZ11" i="3"/>
  <c r="AZ30" i="3"/>
  <c r="AI47" i="13"/>
  <c r="AZ31" i="3"/>
  <c r="AI48" i="13"/>
  <c r="AZ16" i="3"/>
  <c r="AI32" i="13"/>
  <c r="AZ33" i="3"/>
  <c r="AI50" i="13"/>
  <c r="AZ32" i="3"/>
  <c r="AI49" i="13"/>
  <c r="O6" i="3"/>
  <c r="O19" i="13" s="1"/>
  <c r="BB11" i="3" l="1"/>
  <c r="F29" i="16" s="1"/>
  <c r="AJ24" i="13"/>
  <c r="AJ47" i="13"/>
  <c r="BB30" i="3"/>
  <c r="AJ50" i="13"/>
  <c r="BB33" i="3"/>
  <c r="AJ49" i="13"/>
  <c r="BB32" i="3"/>
  <c r="BB31" i="3"/>
  <c r="AJ48" i="13"/>
  <c r="BB16" i="3"/>
  <c r="F30" i="16" s="1"/>
  <c r="AJ32" i="13"/>
  <c r="AJ6" i="3"/>
  <c r="AI6" i="3"/>
  <c r="Y6" i="3"/>
  <c r="Q19" i="13" s="1"/>
  <c r="Z6" i="3"/>
  <c r="R19" i="13" s="1"/>
  <c r="W6" i="3"/>
  <c r="X6" i="3"/>
  <c r="P19" i="13" s="1"/>
  <c r="V6" i="3"/>
  <c r="AO6" i="3"/>
  <c r="AQ6" i="3"/>
  <c r="AK6" i="3"/>
  <c r="AP6" i="3"/>
  <c r="AL6" i="3"/>
  <c r="F12" i="9"/>
  <c r="F14" i="9"/>
  <c r="F13" i="9"/>
  <c r="F11" i="9"/>
  <c r="F10" i="9"/>
  <c r="F9" i="9"/>
  <c r="F8" i="9"/>
  <c r="C8" i="9"/>
  <c r="F15" i="9"/>
  <c r="AN57" i="7"/>
  <c r="AP57" i="7" s="1"/>
  <c r="AM57" i="7"/>
  <c r="O34" i="3"/>
  <c r="O54" i="13" s="1"/>
  <c r="O53" i="13" s="1"/>
  <c r="O29" i="3"/>
  <c r="O46" i="13" s="1"/>
  <c r="O28" i="3"/>
  <c r="O45" i="13" s="1"/>
  <c r="R28" i="3"/>
  <c r="AM53" i="7"/>
  <c r="AN53" i="7"/>
  <c r="AN23" i="7"/>
  <c r="AP23" i="7" s="1"/>
  <c r="AM23" i="7"/>
  <c r="R10" i="3"/>
  <c r="O10" i="3"/>
  <c r="X10" i="3" s="1"/>
  <c r="AN51" i="7"/>
  <c r="AP51" i="7" s="1"/>
  <c r="AM51" i="7"/>
  <c r="R27" i="3"/>
  <c r="O27" i="3"/>
  <c r="O44" i="13" s="1"/>
  <c r="AK24" i="13" l="1"/>
  <c r="F32" i="16"/>
  <c r="F33" i="16"/>
  <c r="F34" i="16"/>
  <c r="AK47" i="13"/>
  <c r="F31" i="16"/>
  <c r="P28" i="3"/>
  <c r="Q28" i="3" s="1"/>
  <c r="U45" i="13" s="1"/>
  <c r="P10" i="3"/>
  <c r="Q10" i="3" s="1"/>
  <c r="U23" i="13" s="1"/>
  <c r="P34" i="3"/>
  <c r="P27" i="3"/>
  <c r="AK32" i="13"/>
  <c r="AK48" i="13"/>
  <c r="S27" i="3"/>
  <c r="W44" i="13" s="1"/>
  <c r="V44" i="13"/>
  <c r="S28" i="3"/>
  <c r="W45" i="13" s="1"/>
  <c r="V45" i="13"/>
  <c r="AK49" i="13"/>
  <c r="AK50" i="13"/>
  <c r="S10" i="3"/>
  <c r="W23" i="13" s="1"/>
  <c r="V23" i="13"/>
  <c r="Y10" i="3"/>
  <c r="Q23" i="13" s="1"/>
  <c r="P23" i="13"/>
  <c r="AE6" i="3"/>
  <c r="AI10" i="3"/>
  <c r="O23" i="13"/>
  <c r="AD6" i="3"/>
  <c r="W27" i="3"/>
  <c r="V27" i="3"/>
  <c r="AI27" i="3"/>
  <c r="W29" i="3"/>
  <c r="V29" i="3"/>
  <c r="AI29" i="3"/>
  <c r="W34" i="3"/>
  <c r="V34" i="3"/>
  <c r="AI34" i="3"/>
  <c r="W28" i="3"/>
  <c r="V28" i="3"/>
  <c r="AI28" i="3"/>
  <c r="Y34" i="3"/>
  <c r="Q54" i="13" s="1"/>
  <c r="Z34" i="3"/>
  <c r="R54" i="13" s="1"/>
  <c r="X34" i="3"/>
  <c r="P54" i="13" s="1"/>
  <c r="AP34" i="3"/>
  <c r="AL34" i="3"/>
  <c r="AJ34" i="3"/>
  <c r="AQ34" i="3"/>
  <c r="AO34" i="3"/>
  <c r="AK34" i="3"/>
  <c r="X28" i="3"/>
  <c r="P45" i="13" s="1"/>
  <c r="Z28" i="3"/>
  <c r="R45" i="13" s="1"/>
  <c r="Y28" i="3"/>
  <c r="Q45" i="13" s="1"/>
  <c r="AO28" i="3"/>
  <c r="AQ28" i="3"/>
  <c r="AJ28" i="3"/>
  <c r="AL28" i="3"/>
  <c r="AP28" i="3"/>
  <c r="AK28" i="3"/>
  <c r="AR6" i="3"/>
  <c r="Y27" i="3"/>
  <c r="Q44" i="13" s="1"/>
  <c r="X27" i="3"/>
  <c r="P44" i="13" s="1"/>
  <c r="Z27" i="3"/>
  <c r="R44" i="13" s="1"/>
  <c r="AJ27" i="3"/>
  <c r="AL27" i="3"/>
  <c r="AP27" i="3"/>
  <c r="AK27" i="3"/>
  <c r="AO27" i="3"/>
  <c r="AQ27" i="3"/>
  <c r="V10" i="3"/>
  <c r="Z10" i="3"/>
  <c r="R23" i="13" s="1"/>
  <c r="W10" i="3"/>
  <c r="AO10" i="3"/>
  <c r="AQ10" i="3"/>
  <c r="AK10" i="3"/>
  <c r="AP10" i="3"/>
  <c r="AJ10" i="3"/>
  <c r="AL10" i="3"/>
  <c r="X29" i="3"/>
  <c r="P46" i="13" s="1"/>
  <c r="Y29" i="3"/>
  <c r="Q46" i="13" s="1"/>
  <c r="Z29" i="3"/>
  <c r="R46" i="13" s="1"/>
  <c r="AQ29" i="3"/>
  <c r="AO29" i="3"/>
  <c r="AJ29" i="3"/>
  <c r="AL29" i="3"/>
  <c r="AP29" i="3"/>
  <c r="AK29" i="3"/>
  <c r="AM6" i="3"/>
  <c r="AB19" i="13" s="1"/>
  <c r="E43" i="13"/>
  <c r="F43" i="13"/>
  <c r="E23" i="13"/>
  <c r="F23" i="13"/>
  <c r="E44" i="13"/>
  <c r="F44" i="13"/>
  <c r="E45" i="13"/>
  <c r="F45" i="13"/>
  <c r="M23" i="13"/>
  <c r="K23" i="13"/>
  <c r="I23" i="13"/>
  <c r="G23" i="13"/>
  <c r="N23" i="13"/>
  <c r="D23" i="13"/>
  <c r="J23" i="13"/>
  <c r="N44" i="13"/>
  <c r="D44" i="13"/>
  <c r="M44" i="13"/>
  <c r="J44" i="13"/>
  <c r="I44" i="13"/>
  <c r="G43" i="13"/>
  <c r="K43" i="13"/>
  <c r="D43" i="13"/>
  <c r="J43" i="13"/>
  <c r="N43" i="13"/>
  <c r="C43" i="13"/>
  <c r="H43" i="13"/>
  <c r="L43" i="13"/>
  <c r="I43" i="13"/>
  <c r="M43" i="13"/>
  <c r="G45" i="13"/>
  <c r="K45" i="13"/>
  <c r="C45" i="13"/>
  <c r="H45" i="13"/>
  <c r="L45" i="13"/>
  <c r="L23" i="13"/>
  <c r="H23" i="13"/>
  <c r="C23" i="13"/>
  <c r="L44" i="13"/>
  <c r="H44" i="13"/>
  <c r="C44" i="13"/>
  <c r="I45" i="13"/>
  <c r="M45" i="13"/>
  <c r="K44" i="13"/>
  <c r="G44" i="13"/>
  <c r="D45" i="13"/>
  <c r="J45" i="13"/>
  <c r="N45" i="13"/>
  <c r="AC10" i="3" l="1"/>
  <c r="AA23" i="13" s="1"/>
  <c r="AC28" i="3"/>
  <c r="AA45" i="13" s="1"/>
  <c r="T45" i="13"/>
  <c r="T23" i="13"/>
  <c r="Q27" i="3"/>
  <c r="U44" i="13" s="1"/>
  <c r="T44" i="13"/>
  <c r="Q34" i="3"/>
  <c r="U54" i="13" s="1"/>
  <c r="T54" i="13"/>
  <c r="T53" i="13" s="1"/>
  <c r="AG28" i="3"/>
  <c r="AG27" i="3"/>
  <c r="AD19" i="13"/>
  <c r="AG10" i="3"/>
  <c r="Q53" i="13"/>
  <c r="S53" i="13"/>
  <c r="Z53" i="13"/>
  <c r="AE27" i="3"/>
  <c r="P53" i="13"/>
  <c r="AE10" i="3"/>
  <c r="AE34" i="3"/>
  <c r="R53" i="13"/>
  <c r="AE28" i="3"/>
  <c r="AE29" i="3"/>
  <c r="AD29" i="3"/>
  <c r="AD28" i="3"/>
  <c r="AD34" i="3"/>
  <c r="AD10" i="3"/>
  <c r="AD27" i="3"/>
  <c r="AM27" i="3"/>
  <c r="AB44" i="13" s="1"/>
  <c r="AM10" i="3"/>
  <c r="AB23" i="13" s="1"/>
  <c r="AR34" i="3"/>
  <c r="AR10" i="3"/>
  <c r="AD23" i="13" s="1"/>
  <c r="AM29" i="3"/>
  <c r="AB46" i="13" s="1"/>
  <c r="AM28" i="3"/>
  <c r="AB45" i="13" s="1"/>
  <c r="AR28" i="3"/>
  <c r="AD45" i="13" s="1"/>
  <c r="AR29" i="3"/>
  <c r="AD46" i="13" s="1"/>
  <c r="AR27" i="3"/>
  <c r="AD44" i="13" s="1"/>
  <c r="AM34" i="3"/>
  <c r="AB54" i="13" s="1"/>
  <c r="W53" i="13"/>
  <c r="A19" i="13"/>
  <c r="B16" i="13"/>
  <c r="AC27" i="3" l="1"/>
  <c r="AA44" i="13" s="1"/>
  <c r="AC34" i="3"/>
  <c r="AA54" i="13" s="1"/>
  <c r="AD54" i="13"/>
  <c r="AD53" i="13" s="1"/>
  <c r="AC16" i="13"/>
  <c r="Z16" i="13"/>
  <c r="AG16" i="13"/>
  <c r="AF16" i="13"/>
  <c r="AE16" i="13"/>
  <c r="Y16" i="13"/>
  <c r="Y15" i="13" s="1"/>
  <c r="Y62" i="13" s="1"/>
  <c r="X16" i="13"/>
  <c r="X15" i="13" s="1"/>
  <c r="X62" i="13" s="1"/>
  <c r="S16" i="13"/>
  <c r="P16" i="13"/>
  <c r="U53" i="13"/>
  <c r="V53" i="13"/>
  <c r="AB53" i="13"/>
  <c r="AC53" i="13"/>
  <c r="AH27" i="3"/>
  <c r="AH10" i="3"/>
  <c r="AH34" i="3"/>
  <c r="AH28" i="3"/>
  <c r="AX28" i="3" s="1"/>
  <c r="AH45" i="13" s="1"/>
  <c r="F35" i="13"/>
  <c r="F39" i="13"/>
  <c r="F30" i="13"/>
  <c r="F36" i="13"/>
  <c r="F40" i="13"/>
  <c r="F19" i="13"/>
  <c r="F28" i="13"/>
  <c r="F32" i="13"/>
  <c r="F38" i="13"/>
  <c r="F29" i="13"/>
  <c r="F46" i="13"/>
  <c r="E24" i="13"/>
  <c r="F24" i="13"/>
  <c r="E31" i="13"/>
  <c r="F31" i="13"/>
  <c r="E37" i="13"/>
  <c r="F37" i="13"/>
  <c r="E41" i="13"/>
  <c r="F41" i="13"/>
  <c r="I16" i="13"/>
  <c r="D16" i="13"/>
  <c r="H16" i="13"/>
  <c r="E16" i="13"/>
  <c r="G16" i="13"/>
  <c r="F16" i="13"/>
  <c r="E20" i="13"/>
  <c r="F20" i="13"/>
  <c r="E42" i="13"/>
  <c r="F42" i="13"/>
  <c r="F17" i="13"/>
  <c r="E17" i="13"/>
  <c r="F21" i="13"/>
  <c r="E22" i="13"/>
  <c r="F22" i="13"/>
  <c r="K30" i="13"/>
  <c r="E30" i="13"/>
  <c r="H36" i="13"/>
  <c r="E36" i="13"/>
  <c r="K40" i="13"/>
  <c r="E40" i="13"/>
  <c r="G19" i="13"/>
  <c r="E19" i="13"/>
  <c r="D28" i="13"/>
  <c r="E28" i="13"/>
  <c r="G32" i="13"/>
  <c r="E32" i="13"/>
  <c r="G38" i="13"/>
  <c r="E38" i="13"/>
  <c r="K21" i="13"/>
  <c r="E21" i="13"/>
  <c r="G29" i="13"/>
  <c r="E29" i="13"/>
  <c r="K35" i="13"/>
  <c r="E35" i="13"/>
  <c r="G39" i="13"/>
  <c r="E39" i="13"/>
  <c r="K46" i="13"/>
  <c r="E46" i="13"/>
  <c r="G42" i="13"/>
  <c r="C42" i="13"/>
  <c r="I22" i="13"/>
  <c r="I28" i="13"/>
  <c r="J46" i="13"/>
  <c r="C21" i="13"/>
  <c r="C46" i="13"/>
  <c r="J21" i="13"/>
  <c r="I38" i="13"/>
  <c r="K19" i="13"/>
  <c r="D19" i="13"/>
  <c r="J35" i="13"/>
  <c r="C36" i="13"/>
  <c r="C16" i="13"/>
  <c r="K36" i="13"/>
  <c r="H40" i="13"/>
  <c r="C35" i="13"/>
  <c r="J16" i="13"/>
  <c r="G40" i="13"/>
  <c r="H30" i="13"/>
  <c r="L42" i="13"/>
  <c r="L32" i="13"/>
  <c r="G30" i="13"/>
  <c r="K22" i="13"/>
  <c r="C29" i="13"/>
  <c r="C39" i="13"/>
  <c r="I39" i="13"/>
  <c r="I36" i="13"/>
  <c r="I29" i="13"/>
  <c r="D38" i="13"/>
  <c r="C30" i="13"/>
  <c r="C40" i="13"/>
  <c r="L40" i="13"/>
  <c r="L30" i="13"/>
  <c r="J17" i="13"/>
  <c r="I17" i="13"/>
  <c r="G17" i="13"/>
  <c r="L17" i="13"/>
  <c r="K17" i="13"/>
  <c r="D17" i="13"/>
  <c r="C17" i="13"/>
  <c r="J20" i="13"/>
  <c r="D20" i="13"/>
  <c r="H20" i="13"/>
  <c r="I20" i="13"/>
  <c r="K20" i="13"/>
  <c r="C20" i="13"/>
  <c r="H24" i="13"/>
  <c r="L24" i="13"/>
  <c r="D24" i="13"/>
  <c r="K24" i="13"/>
  <c r="G24" i="13"/>
  <c r="C24" i="13"/>
  <c r="I24" i="13"/>
  <c r="H31" i="13"/>
  <c r="L31" i="13"/>
  <c r="I31" i="13"/>
  <c r="K31" i="13"/>
  <c r="J31" i="13"/>
  <c r="C31" i="13"/>
  <c r="H37" i="13"/>
  <c r="L37" i="13"/>
  <c r="K37" i="13"/>
  <c r="D37" i="13"/>
  <c r="G37" i="13"/>
  <c r="C37" i="13"/>
  <c r="I37" i="13"/>
  <c r="H41" i="13"/>
  <c r="L41" i="13"/>
  <c r="I41" i="13"/>
  <c r="J41" i="13"/>
  <c r="D41" i="13"/>
  <c r="C41" i="13"/>
  <c r="K41" i="13"/>
  <c r="D31" i="13"/>
  <c r="G31" i="13"/>
  <c r="L20" i="13"/>
  <c r="H17" i="13"/>
  <c r="J37" i="13"/>
  <c r="G20" i="13"/>
  <c r="G41" i="13"/>
  <c r="J24" i="13"/>
  <c r="J32" i="13"/>
  <c r="J42" i="13"/>
  <c r="D42" i="13"/>
  <c r="K42" i="13"/>
  <c r="H38" i="13"/>
  <c r="J28" i="13"/>
  <c r="K32" i="13"/>
  <c r="H19" i="13"/>
  <c r="L19" i="13"/>
  <c r="H21" i="13"/>
  <c r="L21" i="13"/>
  <c r="H29" i="13"/>
  <c r="L29" i="13"/>
  <c r="H35" i="13"/>
  <c r="L35" i="13"/>
  <c r="H39" i="13"/>
  <c r="L39" i="13"/>
  <c r="H46" i="13"/>
  <c r="L46" i="13"/>
  <c r="D46" i="13"/>
  <c r="C19" i="13"/>
  <c r="D35" i="13"/>
  <c r="D30" i="13"/>
  <c r="D22" i="13"/>
  <c r="L16" i="13"/>
  <c r="I46" i="13"/>
  <c r="I42" i="13"/>
  <c r="K39" i="13"/>
  <c r="L38" i="13"/>
  <c r="I35" i="13"/>
  <c r="I32" i="13"/>
  <c r="K29" i="13"/>
  <c r="L28" i="13"/>
  <c r="G28" i="13"/>
  <c r="H22" i="13"/>
  <c r="I21" i="13"/>
  <c r="J19" i="13"/>
  <c r="J38" i="13"/>
  <c r="H28" i="13"/>
  <c r="K16" i="13"/>
  <c r="J22" i="13"/>
  <c r="J30" i="13"/>
  <c r="J36" i="13"/>
  <c r="D36" i="13"/>
  <c r="J40" i="13"/>
  <c r="D40" i="13"/>
  <c r="C22" i="13"/>
  <c r="C28" i="13"/>
  <c r="C32" i="13"/>
  <c r="C38" i="13"/>
  <c r="D39" i="13"/>
  <c r="D32" i="13"/>
  <c r="D29" i="13"/>
  <c r="D21" i="13"/>
  <c r="G46" i="13"/>
  <c r="H42" i="13"/>
  <c r="I40" i="13"/>
  <c r="J39" i="13"/>
  <c r="K38" i="13"/>
  <c r="L36" i="13"/>
  <c r="G36" i="13"/>
  <c r="G35" i="13"/>
  <c r="H32" i="13"/>
  <c r="I30" i="13"/>
  <c r="J29" i="13"/>
  <c r="K28" i="13"/>
  <c r="L22" i="13"/>
  <c r="G22" i="13"/>
  <c r="G21" i="13"/>
  <c r="I19" i="13"/>
  <c r="K27" i="13" l="1"/>
  <c r="G27" i="13"/>
  <c r="L27" i="13"/>
  <c r="J27" i="13"/>
  <c r="H27" i="13"/>
  <c r="I27" i="13"/>
  <c r="AX10" i="3"/>
  <c r="AX34" i="3"/>
  <c r="AH54" i="13" s="1"/>
  <c r="AY28" i="3"/>
  <c r="AX27" i="3"/>
  <c r="AA53" i="13"/>
  <c r="G34" i="13"/>
  <c r="H18" i="13"/>
  <c r="L34" i="13"/>
  <c r="K18" i="13"/>
  <c r="K34" i="13"/>
  <c r="G18" i="13"/>
  <c r="I18" i="13"/>
  <c r="I34" i="13"/>
  <c r="H34" i="13"/>
  <c r="J34" i="13"/>
  <c r="J18" i="13"/>
  <c r="L18" i="13"/>
  <c r="AG18" i="13"/>
  <c r="AG34" i="13"/>
  <c r="A31" i="13"/>
  <c r="A32" i="13" s="1"/>
  <c r="A33" i="13" s="1"/>
  <c r="K15" i="13"/>
  <c r="J15" i="13"/>
  <c r="G15" i="13"/>
  <c r="I15" i="13"/>
  <c r="H15" i="13"/>
  <c r="L15" i="13"/>
  <c r="AG15" i="13"/>
  <c r="H62" i="13" l="1"/>
  <c r="L62" i="13"/>
  <c r="I62" i="13"/>
  <c r="G62" i="13"/>
  <c r="J62" i="13"/>
  <c r="K62" i="13"/>
  <c r="AG62" i="13"/>
  <c r="AY34" i="3"/>
  <c r="AZ34" i="3" s="1"/>
  <c r="BB34" i="3" s="1"/>
  <c r="F27" i="16" s="1"/>
  <c r="AZ28" i="3"/>
  <c r="AJ45" i="13" s="1"/>
  <c r="AI45" i="13"/>
  <c r="AY27" i="3"/>
  <c r="AH44" i="13"/>
  <c r="AY10" i="3"/>
  <c r="AH23" i="13"/>
  <c r="AG63" i="13"/>
  <c r="AH53" i="13"/>
  <c r="H11" i="11"/>
  <c r="H14" i="11" s="1"/>
  <c r="XEU15" i="11"/>
  <c r="I14" i="11"/>
  <c r="AI54" i="13" l="1"/>
  <c r="AK54" i="13"/>
  <c r="BB28" i="3"/>
  <c r="F25" i="16" s="1"/>
  <c r="AZ27" i="3"/>
  <c r="AI44" i="13"/>
  <c r="AZ10" i="3"/>
  <c r="AI23" i="13"/>
  <c r="AF53" i="13"/>
  <c r="AJ54" i="13"/>
  <c r="Z4" i="3"/>
  <c r="R16" i="13" s="1"/>
  <c r="O16" i="13"/>
  <c r="AO4" i="3"/>
  <c r="AQ4" i="3"/>
  <c r="AP4" i="3"/>
  <c r="AI4" i="3"/>
  <c r="AL4" i="3"/>
  <c r="AK4" i="3"/>
  <c r="AJ4" i="3"/>
  <c r="Y4" i="3"/>
  <c r="Q16" i="13" s="1"/>
  <c r="W4" i="3"/>
  <c r="C20" i="9" s="1"/>
  <c r="E9" i="7"/>
  <c r="E10" i="7" s="1"/>
  <c r="AJ23" i="13" l="1"/>
  <c r="BB10" i="3"/>
  <c r="F10" i="16" s="1"/>
  <c r="AJ44" i="13"/>
  <c r="BB27" i="3"/>
  <c r="AK45" i="13"/>
  <c r="AM4" i="3"/>
  <c r="AB16" i="13" s="1"/>
  <c r="AD4" i="3"/>
  <c r="AE4" i="3"/>
  <c r="AR4" i="3"/>
  <c r="AD16" i="13" s="1"/>
  <c r="F24" i="16" l="1"/>
  <c r="AK44" i="13"/>
  <c r="AK23" i="13"/>
  <c r="N37" i="13"/>
  <c r="AN59" i="7" l="1"/>
  <c r="AP59" i="7" s="1"/>
  <c r="AM59" i="7"/>
  <c r="AN55" i="7"/>
  <c r="AP55" i="7" s="1"/>
  <c r="AM55" i="7"/>
  <c r="AN49" i="7"/>
  <c r="AP49" i="7" s="1"/>
  <c r="AM49" i="7"/>
  <c r="AN47" i="7"/>
  <c r="AM47" i="7"/>
  <c r="P25" i="3" s="1"/>
  <c r="Q25" i="3" s="1"/>
  <c r="AN45" i="7"/>
  <c r="AP45" i="7" s="1"/>
  <c r="AM45" i="7"/>
  <c r="P24" i="3" s="1"/>
  <c r="AN43" i="7"/>
  <c r="AP43" i="7" s="1"/>
  <c r="AM43" i="7"/>
  <c r="P23" i="3" s="1"/>
  <c r="T40" i="13" s="1"/>
  <c r="AN41" i="7"/>
  <c r="AP41" i="7" s="1"/>
  <c r="AM41" i="7"/>
  <c r="P22" i="3" s="1"/>
  <c r="AN39" i="7"/>
  <c r="AP39" i="7" s="1"/>
  <c r="AM39" i="7"/>
  <c r="AN37" i="7"/>
  <c r="AP37" i="7" s="1"/>
  <c r="AM37" i="7"/>
  <c r="AN35" i="7"/>
  <c r="AP35" i="7" s="1"/>
  <c r="AM35" i="7"/>
  <c r="AN33" i="7"/>
  <c r="AP33" i="7" s="1"/>
  <c r="AM33" i="7"/>
  <c r="P18" i="3" s="1"/>
  <c r="AN31" i="7"/>
  <c r="AP31" i="7" s="1"/>
  <c r="AM31" i="7"/>
  <c r="P15" i="3" s="1"/>
  <c r="AN29" i="7"/>
  <c r="AP29" i="7" s="1"/>
  <c r="AM29" i="7"/>
  <c r="P14" i="3" s="1"/>
  <c r="AN27" i="7"/>
  <c r="AP27" i="7" s="1"/>
  <c r="AM27" i="7"/>
  <c r="P13" i="3" s="1"/>
  <c r="AN25" i="7"/>
  <c r="AP25" i="7" s="1"/>
  <c r="AM25" i="7"/>
  <c r="AN21" i="7"/>
  <c r="AP21" i="7" s="1"/>
  <c r="AM21" i="7"/>
  <c r="AN19" i="7"/>
  <c r="AP19" i="7" s="1"/>
  <c r="AM19" i="7"/>
  <c r="AN17" i="7"/>
  <c r="AP17" i="7" s="1"/>
  <c r="AM17" i="7"/>
  <c r="P7" i="3" s="1"/>
  <c r="AN15" i="7"/>
  <c r="AP15" i="7" s="1"/>
  <c r="AM15" i="7"/>
  <c r="P6" i="3" s="1"/>
  <c r="AN13" i="7"/>
  <c r="AP13" i="7" s="1"/>
  <c r="AM13" i="7"/>
  <c r="P5" i="3" s="1"/>
  <c r="AM11" i="7"/>
  <c r="AN11" i="7"/>
  <c r="AP11" i="7" s="1"/>
  <c r="P26" i="3" l="1"/>
  <c r="P29" i="3"/>
  <c r="Q29" i="3" s="1"/>
  <c r="P12" i="3"/>
  <c r="Q12" i="3" s="1"/>
  <c r="U28" i="13" s="1"/>
  <c r="P21" i="3"/>
  <c r="P19" i="3"/>
  <c r="T36" i="13" s="1"/>
  <c r="P9" i="3"/>
  <c r="Q9" i="3" s="1"/>
  <c r="U22" i="13" s="1"/>
  <c r="AP47" i="7"/>
  <c r="AP96" i="7" s="1"/>
  <c r="P8" i="3"/>
  <c r="T21" i="13" s="1"/>
  <c r="P20" i="3"/>
  <c r="T37" i="13" s="1"/>
  <c r="P35" i="3"/>
  <c r="Q21" i="3"/>
  <c r="U38" i="13" s="1"/>
  <c r="T38" i="13"/>
  <c r="Q13" i="3"/>
  <c r="U29" i="13" s="1"/>
  <c r="T29" i="13"/>
  <c r="Q14" i="3"/>
  <c r="U30" i="13" s="1"/>
  <c r="T30" i="13"/>
  <c r="Q24" i="3"/>
  <c r="U41" i="13" s="1"/>
  <c r="T41" i="13"/>
  <c r="P4" i="3"/>
  <c r="Q5" i="3"/>
  <c r="U17" i="13" s="1"/>
  <c r="T17" i="13"/>
  <c r="Q22" i="3"/>
  <c r="U39" i="13" s="1"/>
  <c r="T39" i="13"/>
  <c r="Q15" i="3"/>
  <c r="U31" i="13" s="1"/>
  <c r="T31" i="13"/>
  <c r="Q18" i="3"/>
  <c r="U35" i="13" s="1"/>
  <c r="T35" i="13"/>
  <c r="Q26" i="3"/>
  <c r="U43" i="13" s="1"/>
  <c r="T43" i="13"/>
  <c r="Q7" i="3"/>
  <c r="U20" i="13" s="1"/>
  <c r="T20" i="13"/>
  <c r="Q6" i="3"/>
  <c r="T19" i="13"/>
  <c r="U42" i="13"/>
  <c r="T42" i="13"/>
  <c r="Q23" i="3"/>
  <c r="U40" i="13" s="1"/>
  <c r="AK11" i="7"/>
  <c r="R35" i="3"/>
  <c r="O35" i="3"/>
  <c r="AK39" i="7"/>
  <c r="R21" i="3" s="1"/>
  <c r="V38" i="13" s="1"/>
  <c r="O21" i="3"/>
  <c r="AK37" i="7"/>
  <c r="R20" i="3" s="1"/>
  <c r="V37" i="13" s="1"/>
  <c r="O20" i="3"/>
  <c r="R29" i="3"/>
  <c r="V46" i="13" s="1"/>
  <c r="R26" i="3"/>
  <c r="O26" i="3"/>
  <c r="O43" i="13" s="1"/>
  <c r="R25" i="3"/>
  <c r="O25" i="3"/>
  <c r="O42" i="13" s="1"/>
  <c r="R24" i="3"/>
  <c r="O24" i="3"/>
  <c r="O41" i="13" s="1"/>
  <c r="AK43" i="7"/>
  <c r="R23" i="3" s="1"/>
  <c r="V40" i="13" s="1"/>
  <c r="O23" i="3"/>
  <c r="O40" i="13" s="1"/>
  <c r="AK41" i="7"/>
  <c r="R22" i="3" s="1"/>
  <c r="V39" i="13" s="1"/>
  <c r="O22" i="3"/>
  <c r="O39" i="13" s="1"/>
  <c r="R19" i="3"/>
  <c r="V36" i="13" s="1"/>
  <c r="O19" i="3"/>
  <c r="X19" i="3" s="1"/>
  <c r="R18" i="3"/>
  <c r="V35" i="13" s="1"/>
  <c r="O18" i="3"/>
  <c r="AK31" i="7"/>
  <c r="R15" i="3" s="1"/>
  <c r="V31" i="13" s="1"/>
  <c r="O15" i="3"/>
  <c r="R14" i="3"/>
  <c r="V30" i="13" s="1"/>
  <c r="O14" i="3"/>
  <c r="X14" i="3" s="1"/>
  <c r="R13" i="3"/>
  <c r="O13" i="3"/>
  <c r="AK25" i="7"/>
  <c r="R12" i="3" s="1"/>
  <c r="V28" i="13" s="1"/>
  <c r="O12" i="3"/>
  <c r="X12" i="3" s="1"/>
  <c r="R9" i="3"/>
  <c r="O9" i="3"/>
  <c r="R8" i="3"/>
  <c r="V21" i="13" s="1"/>
  <c r="O8" i="3"/>
  <c r="X8" i="3" s="1"/>
  <c r="P21" i="13" s="1"/>
  <c r="AK17" i="7"/>
  <c r="R7" i="3" s="1"/>
  <c r="V20" i="13" s="1"/>
  <c r="O7" i="3"/>
  <c r="C10" i="9" s="1"/>
  <c r="AK15" i="7"/>
  <c r="R6" i="3" s="1"/>
  <c r="V19" i="13" s="1"/>
  <c r="A15" i="7"/>
  <c r="A17" i="7" s="1"/>
  <c r="A19" i="7" s="1"/>
  <c r="AK13" i="7"/>
  <c r="R5" i="3" s="1"/>
  <c r="V17" i="13" s="1"/>
  <c r="O5" i="3"/>
  <c r="F9" i="7"/>
  <c r="F10" i="7" s="1"/>
  <c r="M17" i="13"/>
  <c r="M20" i="13"/>
  <c r="M21" i="13"/>
  <c r="M22" i="13"/>
  <c r="N24" i="13"/>
  <c r="N28" i="13"/>
  <c r="M28" i="13"/>
  <c r="M29" i="13"/>
  <c r="M30" i="13"/>
  <c r="N32" i="13"/>
  <c r="M32" i="13"/>
  <c r="M37" i="13"/>
  <c r="M38" i="13"/>
  <c r="M39" i="13"/>
  <c r="N40" i="13"/>
  <c r="M40" i="13"/>
  <c r="M41" i="13"/>
  <c r="M42" i="13"/>
  <c r="M35" i="13"/>
  <c r="N36" i="13"/>
  <c r="M36" i="13"/>
  <c r="T28" i="13" l="1"/>
  <c r="T27" i="13" s="1"/>
  <c r="T46" i="13"/>
  <c r="Q19" i="3"/>
  <c r="U36" i="13" s="1"/>
  <c r="T22" i="13"/>
  <c r="U19" i="13"/>
  <c r="U46" i="13"/>
  <c r="O35" i="13"/>
  <c r="X18" i="3"/>
  <c r="P35" i="13" s="1"/>
  <c r="O38" i="13"/>
  <c r="X21" i="3"/>
  <c r="P38" i="13" s="1"/>
  <c r="X13" i="3"/>
  <c r="P29" i="13" s="1"/>
  <c r="O31" i="13"/>
  <c r="X15" i="3"/>
  <c r="P31" i="13" s="1"/>
  <c r="O37" i="13"/>
  <c r="X20" i="3"/>
  <c r="P37" i="13" s="1"/>
  <c r="X9" i="3"/>
  <c r="P22" i="13" s="1"/>
  <c r="U27" i="13"/>
  <c r="AI35" i="3"/>
  <c r="Q35" i="3"/>
  <c r="Q8" i="3"/>
  <c r="U21" i="13" s="1"/>
  <c r="P47" i="3"/>
  <c r="Q20" i="3"/>
  <c r="U37" i="13" s="1"/>
  <c r="S26" i="3"/>
  <c r="W43" i="13" s="1"/>
  <c r="V43" i="13"/>
  <c r="S24" i="3"/>
  <c r="W41" i="13" s="1"/>
  <c r="V41" i="13"/>
  <c r="S9" i="3"/>
  <c r="W22" i="13" s="1"/>
  <c r="V22" i="13"/>
  <c r="S13" i="3"/>
  <c r="W29" i="13" s="1"/>
  <c r="V29" i="13"/>
  <c r="V27" i="13" s="1"/>
  <c r="S25" i="3"/>
  <c r="W42" i="13" s="1"/>
  <c r="V42" i="13"/>
  <c r="S29" i="3"/>
  <c r="W46" i="13" s="1"/>
  <c r="S20" i="3"/>
  <c r="S35" i="3"/>
  <c r="S6" i="3"/>
  <c r="W19" i="13" s="1"/>
  <c r="S19" i="3"/>
  <c r="S8" i="3"/>
  <c r="W21" i="13" s="1"/>
  <c r="S22" i="3"/>
  <c r="S14" i="3"/>
  <c r="S15" i="3"/>
  <c r="W31" i="13" s="1"/>
  <c r="S21" i="3"/>
  <c r="W38" i="13" s="1"/>
  <c r="V5" i="3"/>
  <c r="O47" i="3"/>
  <c r="O49" i="3" s="1"/>
  <c r="S5" i="3"/>
  <c r="W17" i="13" s="1"/>
  <c r="S18" i="3"/>
  <c r="S7" i="3"/>
  <c r="S12" i="3"/>
  <c r="S23" i="3"/>
  <c r="O30" i="13"/>
  <c r="P30" i="13"/>
  <c r="O36" i="13"/>
  <c r="P36" i="13"/>
  <c r="R4" i="3"/>
  <c r="C12" i="9" s="1"/>
  <c r="O29" i="13"/>
  <c r="O28" i="13"/>
  <c r="P28" i="13"/>
  <c r="V35" i="3"/>
  <c r="O17" i="13"/>
  <c r="AI7" i="3"/>
  <c r="O20" i="13"/>
  <c r="AI8" i="3"/>
  <c r="O21" i="13"/>
  <c r="AI9" i="3"/>
  <c r="O22" i="13"/>
  <c r="C11" i="9"/>
  <c r="Q4" i="3"/>
  <c r="C21" i="9" s="1"/>
  <c r="X5" i="3"/>
  <c r="P17" i="13" s="1"/>
  <c r="Z5" i="3"/>
  <c r="R17" i="13" s="1"/>
  <c r="AI5" i="3"/>
  <c r="V15" i="3"/>
  <c r="W15" i="3"/>
  <c r="AI15" i="3"/>
  <c r="V20" i="3"/>
  <c r="W20" i="3"/>
  <c r="AI20" i="3"/>
  <c r="Y35" i="3"/>
  <c r="W35" i="3"/>
  <c r="Z35" i="3"/>
  <c r="X35" i="3"/>
  <c r="V14" i="3"/>
  <c r="W14" i="3"/>
  <c r="AI14" i="3"/>
  <c r="W22" i="3"/>
  <c r="V22" i="3"/>
  <c r="AI22" i="3"/>
  <c r="V24" i="3"/>
  <c r="W24" i="3"/>
  <c r="AI24" i="3"/>
  <c r="W26" i="3"/>
  <c r="V26" i="3"/>
  <c r="AI26" i="3"/>
  <c r="W12" i="3"/>
  <c r="V12" i="3"/>
  <c r="AI12" i="3"/>
  <c r="V18" i="3"/>
  <c r="W18" i="3"/>
  <c r="AI18" i="3"/>
  <c r="W21" i="3"/>
  <c r="V21" i="3"/>
  <c r="AI21" i="3"/>
  <c r="Y13" i="3"/>
  <c r="Q29" i="13" s="1"/>
  <c r="W13" i="3"/>
  <c r="V13" i="3"/>
  <c r="AI13" i="3"/>
  <c r="W19" i="3"/>
  <c r="V19" i="3"/>
  <c r="AI19" i="3"/>
  <c r="W23" i="3"/>
  <c r="V23" i="3"/>
  <c r="AI23" i="3"/>
  <c r="W25" i="3"/>
  <c r="V25" i="3"/>
  <c r="AI25" i="3"/>
  <c r="Y14" i="3"/>
  <c r="Q30" i="13" s="1"/>
  <c r="Z14" i="3"/>
  <c r="R30" i="13" s="1"/>
  <c r="AP14" i="3"/>
  <c r="AJ14" i="3"/>
  <c r="AL14" i="3"/>
  <c r="AO14" i="3"/>
  <c r="AQ14" i="3"/>
  <c r="AK14" i="3"/>
  <c r="Z8" i="3"/>
  <c r="R21" i="13" s="1"/>
  <c r="W8" i="3"/>
  <c r="Y8" i="3"/>
  <c r="Q21" i="13" s="1"/>
  <c r="V8" i="3"/>
  <c r="AP8" i="3"/>
  <c r="AJ8" i="3"/>
  <c r="AL8" i="3"/>
  <c r="AO8" i="3"/>
  <c r="AQ8" i="3"/>
  <c r="AK8" i="3"/>
  <c r="Z18" i="3"/>
  <c r="R35" i="13" s="1"/>
  <c r="Y18" i="3"/>
  <c r="Q35" i="13" s="1"/>
  <c r="AO18" i="3"/>
  <c r="AL18" i="3"/>
  <c r="AK18" i="3"/>
  <c r="AQ18" i="3"/>
  <c r="AJ18" i="3"/>
  <c r="AP18" i="3"/>
  <c r="X24" i="3"/>
  <c r="P41" i="13" s="1"/>
  <c r="Z24" i="3"/>
  <c r="R41" i="13" s="1"/>
  <c r="Y24" i="3"/>
  <c r="Q41" i="13" s="1"/>
  <c r="AP24" i="3"/>
  <c r="AK24" i="3"/>
  <c r="AO24" i="3"/>
  <c r="AQ24" i="3"/>
  <c r="AJ24" i="3"/>
  <c r="AL24" i="3"/>
  <c r="Z21" i="3"/>
  <c r="R38" i="13" s="1"/>
  <c r="Y21" i="3"/>
  <c r="Q38" i="13" s="1"/>
  <c r="AP21" i="3"/>
  <c r="AJ21" i="3"/>
  <c r="AL21" i="3"/>
  <c r="AO21" i="3"/>
  <c r="AK21" i="3"/>
  <c r="AQ21" i="3"/>
  <c r="Y12" i="3"/>
  <c r="Q28" i="13" s="1"/>
  <c r="Z12" i="3"/>
  <c r="R28" i="13" s="1"/>
  <c r="AP12" i="3"/>
  <c r="AJ12" i="3"/>
  <c r="AL12" i="3"/>
  <c r="AQ12" i="3"/>
  <c r="AO12" i="3"/>
  <c r="AK12" i="3"/>
  <c r="Y22" i="3"/>
  <c r="Q39" i="13" s="1"/>
  <c r="X22" i="3"/>
  <c r="P39" i="13" s="1"/>
  <c r="Z22" i="3"/>
  <c r="R39" i="13" s="1"/>
  <c r="AL22" i="3"/>
  <c r="AO22" i="3"/>
  <c r="AK22" i="3"/>
  <c r="AJ22" i="3"/>
  <c r="AP22" i="3"/>
  <c r="AQ22" i="3"/>
  <c r="X26" i="3"/>
  <c r="P43" i="13" s="1"/>
  <c r="Z26" i="3"/>
  <c r="R43" i="13" s="1"/>
  <c r="Y26" i="3"/>
  <c r="Q43" i="13" s="1"/>
  <c r="AP26" i="3"/>
  <c r="AK26" i="3"/>
  <c r="AO26" i="3"/>
  <c r="AQ26" i="3"/>
  <c r="AL26" i="3"/>
  <c r="AJ26" i="3"/>
  <c r="Y7" i="3"/>
  <c r="Q20" i="13" s="1"/>
  <c r="Z7" i="3"/>
  <c r="X7" i="3"/>
  <c r="P20" i="13" s="1"/>
  <c r="V7" i="3"/>
  <c r="W7" i="3"/>
  <c r="AK7" i="3"/>
  <c r="AP7" i="3"/>
  <c r="AL7" i="3"/>
  <c r="AJ7" i="3"/>
  <c r="AQ7" i="3"/>
  <c r="AO7" i="3"/>
  <c r="Z9" i="3"/>
  <c r="R22" i="13" s="1"/>
  <c r="V9" i="3"/>
  <c r="Y9" i="3"/>
  <c r="Q22" i="13" s="1"/>
  <c r="W9" i="3"/>
  <c r="AO9" i="3"/>
  <c r="AQ9" i="3"/>
  <c r="AK9" i="3"/>
  <c r="AP9" i="3"/>
  <c r="AJ9" i="3"/>
  <c r="AL9" i="3"/>
  <c r="Z13" i="3"/>
  <c r="R29" i="13" s="1"/>
  <c r="AP13" i="3"/>
  <c r="AJ13" i="3"/>
  <c r="AL13" i="3"/>
  <c r="AO13" i="3"/>
  <c r="AQ13" i="3"/>
  <c r="AK13" i="3"/>
  <c r="Y15" i="3"/>
  <c r="Q31" i="13" s="1"/>
  <c r="Z15" i="3"/>
  <c r="R31" i="13" s="1"/>
  <c r="AP15" i="3"/>
  <c r="AJ15" i="3"/>
  <c r="AL15" i="3"/>
  <c r="AO15" i="3"/>
  <c r="AQ15" i="3"/>
  <c r="AK15" i="3"/>
  <c r="Z19" i="3"/>
  <c r="R36" i="13" s="1"/>
  <c r="Y19" i="3"/>
  <c r="Q36" i="13" s="1"/>
  <c r="AP19" i="3"/>
  <c r="AO19" i="3"/>
  <c r="AL19" i="3"/>
  <c r="AJ19" i="3"/>
  <c r="AQ19" i="3"/>
  <c r="AK19" i="3"/>
  <c r="X23" i="3"/>
  <c r="P40" i="13" s="1"/>
  <c r="Z23" i="3"/>
  <c r="R40" i="13" s="1"/>
  <c r="Y23" i="3"/>
  <c r="Q40" i="13" s="1"/>
  <c r="AO23" i="3"/>
  <c r="AQ23" i="3"/>
  <c r="AJ23" i="3"/>
  <c r="AL23" i="3"/>
  <c r="AP23" i="3"/>
  <c r="AK23" i="3"/>
  <c r="X25" i="3"/>
  <c r="P42" i="13" s="1"/>
  <c r="Z25" i="3"/>
  <c r="R42" i="13" s="1"/>
  <c r="Y25" i="3"/>
  <c r="Q42" i="13" s="1"/>
  <c r="AJ25" i="3"/>
  <c r="AL25" i="3"/>
  <c r="AP25" i="3"/>
  <c r="AK25" i="3"/>
  <c r="AO25" i="3"/>
  <c r="AQ25" i="3"/>
  <c r="Y20" i="3"/>
  <c r="Q37" i="13" s="1"/>
  <c r="Z20" i="3"/>
  <c r="R37" i="13" s="1"/>
  <c r="AK20" i="3"/>
  <c r="AO20" i="3"/>
  <c r="AL20" i="3"/>
  <c r="AP20" i="3"/>
  <c r="AJ20" i="3"/>
  <c r="AQ20" i="3"/>
  <c r="AJ35" i="3"/>
  <c r="AL35" i="3"/>
  <c r="AP35" i="3"/>
  <c r="AK35" i="3"/>
  <c r="AQ35" i="3"/>
  <c r="AO35" i="3"/>
  <c r="Y5" i="3"/>
  <c r="Q17" i="13" s="1"/>
  <c r="W5" i="3"/>
  <c r="AL5" i="3"/>
  <c r="AQ5" i="3"/>
  <c r="AP5" i="3"/>
  <c r="AJ5" i="3"/>
  <c r="AO5" i="3"/>
  <c r="AK5" i="3"/>
  <c r="T16" i="13"/>
  <c r="M16" i="13"/>
  <c r="M15" i="13" s="1"/>
  <c r="M46" i="13"/>
  <c r="M34" i="13" s="1"/>
  <c r="M24" i="13"/>
  <c r="N31" i="13"/>
  <c r="M19" i="13"/>
  <c r="M31" i="13"/>
  <c r="M27" i="13" s="1"/>
  <c r="N16" i="13"/>
  <c r="AE53" i="13"/>
  <c r="N35" i="13"/>
  <c r="N20" i="13"/>
  <c r="N19" i="13"/>
  <c r="N46" i="13"/>
  <c r="N41" i="13"/>
  <c r="N42" i="13"/>
  <c r="N39" i="13"/>
  <c r="N30" i="13"/>
  <c r="N29" i="13"/>
  <c r="N17" i="13"/>
  <c r="N38" i="13"/>
  <c r="N22" i="13"/>
  <c r="N21" i="13"/>
  <c r="A21" i="7"/>
  <c r="C15" i="9"/>
  <c r="G9" i="7"/>
  <c r="G10" i="7" s="1"/>
  <c r="F21" i="9" l="1"/>
  <c r="F22" i="9"/>
  <c r="F20" i="9"/>
  <c r="AC18" i="3"/>
  <c r="AA35" i="13" s="1"/>
  <c r="AC29" i="3"/>
  <c r="AC26" i="3"/>
  <c r="AA43" i="13" s="1"/>
  <c r="AC23" i="3"/>
  <c r="AA40" i="13" s="1"/>
  <c r="AC20" i="3"/>
  <c r="AA37" i="13" s="1"/>
  <c r="AC21" i="3"/>
  <c r="AA38" i="13" s="1"/>
  <c r="AC7" i="3"/>
  <c r="AA20" i="13" s="1"/>
  <c r="AC13" i="3"/>
  <c r="R20" i="13"/>
  <c r="AC24" i="3"/>
  <c r="AA41" i="13" s="1"/>
  <c r="AC9" i="3"/>
  <c r="AA22" i="13" s="1"/>
  <c r="AC25" i="3"/>
  <c r="AA42" i="13" s="1"/>
  <c r="AC22" i="3"/>
  <c r="AA39" i="13" s="1"/>
  <c r="AC15" i="3"/>
  <c r="AC35" i="3"/>
  <c r="AC8" i="3"/>
  <c r="AA21" i="13" s="1"/>
  <c r="AC5" i="3"/>
  <c r="AA17" i="13" s="1"/>
  <c r="AC14" i="3"/>
  <c r="AA30" i="13" s="1"/>
  <c r="AC12" i="3"/>
  <c r="AA28" i="13" s="1"/>
  <c r="AC19" i="3"/>
  <c r="AA36" i="13" s="1"/>
  <c r="AC6" i="3"/>
  <c r="O34" i="13"/>
  <c r="N27" i="13"/>
  <c r="Q27" i="13"/>
  <c r="P27" i="13"/>
  <c r="O27" i="13"/>
  <c r="R27" i="13"/>
  <c r="Q47" i="3"/>
  <c r="AG26" i="3"/>
  <c r="AG21" i="3"/>
  <c r="AG24" i="3"/>
  <c r="AG15" i="3"/>
  <c r="AG13" i="3"/>
  <c r="AG5" i="3"/>
  <c r="AG25" i="3"/>
  <c r="AG19" i="3"/>
  <c r="W36" i="13"/>
  <c r="AG35" i="3"/>
  <c r="AG20" i="3"/>
  <c r="W37" i="13"/>
  <c r="AG23" i="3"/>
  <c r="W40" i="13"/>
  <c r="AG12" i="3"/>
  <c r="W28" i="13"/>
  <c r="AG7" i="3"/>
  <c r="W20" i="13"/>
  <c r="AG18" i="3"/>
  <c r="W35" i="13"/>
  <c r="AG8" i="3"/>
  <c r="AG9" i="3"/>
  <c r="AD35" i="3"/>
  <c r="AG14" i="3"/>
  <c r="W30" i="13"/>
  <c r="AG22" i="3"/>
  <c r="W39" i="13"/>
  <c r="AI47" i="3"/>
  <c r="Z15" i="13"/>
  <c r="Z47" i="3"/>
  <c r="X47" i="3"/>
  <c r="AK47" i="3"/>
  <c r="AJ47" i="3"/>
  <c r="AO47" i="3"/>
  <c r="AP47" i="3"/>
  <c r="AQ47" i="3"/>
  <c r="R47" i="3"/>
  <c r="R49" i="3" s="1"/>
  <c r="S4" i="3"/>
  <c r="S47" i="3" s="1"/>
  <c r="AL47" i="3"/>
  <c r="V47" i="3"/>
  <c r="W47" i="3"/>
  <c r="Y47" i="3"/>
  <c r="V18" i="13"/>
  <c r="AG29" i="3"/>
  <c r="AH29" i="3" s="1"/>
  <c r="AG6" i="3"/>
  <c r="AH6" i="3" s="1"/>
  <c r="Q15" i="13"/>
  <c r="P15" i="13"/>
  <c r="V16" i="13"/>
  <c r="V15" i="13" s="1"/>
  <c r="R15" i="13"/>
  <c r="S15" i="13"/>
  <c r="V34" i="13"/>
  <c r="AE25" i="3"/>
  <c r="AE14" i="3"/>
  <c r="AE12" i="3"/>
  <c r="AE26" i="3"/>
  <c r="AE19" i="3"/>
  <c r="AE13" i="3"/>
  <c r="AE24" i="3"/>
  <c r="AE35" i="3"/>
  <c r="AE20" i="3"/>
  <c r="AE18" i="3"/>
  <c r="AE7" i="3"/>
  <c r="AE8" i="3"/>
  <c r="AE23" i="3"/>
  <c r="AE22" i="3"/>
  <c r="AE15" i="3"/>
  <c r="AE9" i="3"/>
  <c r="AE21" i="3"/>
  <c r="O18" i="13"/>
  <c r="T18" i="13"/>
  <c r="C22" i="9"/>
  <c r="N34" i="13"/>
  <c r="N18" i="13"/>
  <c r="M18" i="13"/>
  <c r="M62" i="13" s="1"/>
  <c r="T34" i="13"/>
  <c r="AD19" i="3"/>
  <c r="AD12" i="3"/>
  <c r="AD24" i="3"/>
  <c r="AD25" i="3"/>
  <c r="AD26" i="3"/>
  <c r="AD22" i="3"/>
  <c r="AD14" i="3"/>
  <c r="AD13" i="3"/>
  <c r="AD7" i="3"/>
  <c r="AD18" i="3"/>
  <c r="AD8" i="3"/>
  <c r="AD15" i="3"/>
  <c r="AD20" i="3"/>
  <c r="AD23" i="3"/>
  <c r="AD9" i="3"/>
  <c r="AD21" i="3"/>
  <c r="T15" i="13"/>
  <c r="T62" i="13" s="1"/>
  <c r="N15" i="13"/>
  <c r="N62" i="13" s="1"/>
  <c r="AD5" i="3"/>
  <c r="O15" i="13"/>
  <c r="AE5" i="3"/>
  <c r="AM20" i="3"/>
  <c r="AB37" i="13" s="1"/>
  <c r="AM15" i="3"/>
  <c r="AB31" i="13" s="1"/>
  <c r="AR7" i="3"/>
  <c r="AD20" i="13" s="1"/>
  <c r="AR14" i="3"/>
  <c r="AD30" i="13" s="1"/>
  <c r="AM35" i="3"/>
  <c r="AM23" i="3"/>
  <c r="AB40" i="13" s="1"/>
  <c r="AR12" i="3"/>
  <c r="AD28" i="13" s="1"/>
  <c r="AR24" i="3"/>
  <c r="AD41" i="13" s="1"/>
  <c r="AM18" i="3"/>
  <c r="AB35" i="13" s="1"/>
  <c r="AR8" i="3"/>
  <c r="AD21" i="13" s="1"/>
  <c r="AR35" i="3"/>
  <c r="AM25" i="3"/>
  <c r="AB42" i="13" s="1"/>
  <c r="AR26" i="3"/>
  <c r="AD43" i="13" s="1"/>
  <c r="AM19" i="3"/>
  <c r="AB36" i="13" s="1"/>
  <c r="AR15" i="3"/>
  <c r="AD31" i="13" s="1"/>
  <c r="AR13" i="3"/>
  <c r="AD29" i="13" s="1"/>
  <c r="AA29" i="13"/>
  <c r="AM9" i="3"/>
  <c r="AB22" i="13" s="1"/>
  <c r="AM26" i="3"/>
  <c r="AB43" i="13" s="1"/>
  <c r="AR18" i="3"/>
  <c r="AD35" i="13" s="1"/>
  <c r="AM14" i="3"/>
  <c r="AB30" i="13" s="1"/>
  <c r="AR20" i="3"/>
  <c r="AD37" i="13" s="1"/>
  <c r="AR22" i="3"/>
  <c r="AD39" i="13" s="1"/>
  <c r="AM21" i="3"/>
  <c r="AB38" i="13" s="1"/>
  <c r="AR25" i="3"/>
  <c r="AD42" i="13" s="1"/>
  <c r="AR19" i="3"/>
  <c r="AD36" i="13" s="1"/>
  <c r="AA31" i="13"/>
  <c r="AM13" i="3"/>
  <c r="AB29" i="13" s="1"/>
  <c r="AM7" i="3"/>
  <c r="AB20" i="13" s="1"/>
  <c r="AM22" i="3"/>
  <c r="AB39" i="13" s="1"/>
  <c r="AM12" i="3"/>
  <c r="AB28" i="13" s="1"/>
  <c r="AR21" i="3"/>
  <c r="AD38" i="13" s="1"/>
  <c r="AM24" i="3"/>
  <c r="AB41" i="13" s="1"/>
  <c r="AM8" i="3"/>
  <c r="AB21" i="13" s="1"/>
  <c r="AR23" i="3"/>
  <c r="AD40" i="13" s="1"/>
  <c r="AR9" i="3"/>
  <c r="AD22" i="13" s="1"/>
  <c r="AR5" i="3"/>
  <c r="AD17" i="13" s="1"/>
  <c r="AM5" i="3"/>
  <c r="AB17" i="13" s="1"/>
  <c r="AI53" i="13"/>
  <c r="A23" i="7"/>
  <c r="A25" i="7" s="1"/>
  <c r="A27" i="7" s="1"/>
  <c r="A29" i="7" s="1"/>
  <c r="A31" i="7" s="1"/>
  <c r="U16" i="13"/>
  <c r="U15" i="13" s="1"/>
  <c r="H9" i="7"/>
  <c r="H10" i="7" s="1"/>
  <c r="V62" i="13" l="1"/>
  <c r="O62" i="13"/>
  <c r="AC4" i="3"/>
  <c r="AB27" i="13"/>
  <c r="AD27" i="13"/>
  <c r="W27" i="13"/>
  <c r="AA27" i="13"/>
  <c r="W16" i="13"/>
  <c r="W15" i="13" s="1"/>
  <c r="AX29" i="3"/>
  <c r="AH46" i="13" s="1"/>
  <c r="AA46" i="13"/>
  <c r="AX6" i="3"/>
  <c r="AH19" i="13" s="1"/>
  <c r="AA19" i="13"/>
  <c r="AC15" i="13"/>
  <c r="AM47" i="3"/>
  <c r="AE47" i="3"/>
  <c r="AD47" i="3"/>
  <c r="AG4" i="3"/>
  <c r="AG47" i="3" s="1"/>
  <c r="AE15" i="13"/>
  <c r="AR47" i="3"/>
  <c r="Z18" i="13"/>
  <c r="Z34" i="13"/>
  <c r="P34" i="13"/>
  <c r="P18" i="13"/>
  <c r="P62" i="13" s="1"/>
  <c r="AH22" i="3"/>
  <c r="AX22" i="3" s="1"/>
  <c r="AH39" i="13" s="1"/>
  <c r="AH7" i="3"/>
  <c r="AX7" i="3" s="1"/>
  <c r="AH20" i="13" s="1"/>
  <c r="AH13" i="3"/>
  <c r="AX13" i="3" s="1"/>
  <c r="AH29" i="13" s="1"/>
  <c r="AH14" i="3"/>
  <c r="AX14" i="3" s="1"/>
  <c r="AH30" i="13" s="1"/>
  <c r="AH12" i="3"/>
  <c r="AH21" i="3"/>
  <c r="AH20" i="3"/>
  <c r="AX20" i="3" s="1"/>
  <c r="AH37" i="13" s="1"/>
  <c r="AH26" i="3"/>
  <c r="AX26" i="3" s="1"/>
  <c r="AH43" i="13" s="1"/>
  <c r="AH25" i="3"/>
  <c r="AH24" i="3"/>
  <c r="AX24" i="3" s="1"/>
  <c r="AH41" i="13" s="1"/>
  <c r="AH19" i="3"/>
  <c r="AH9" i="3"/>
  <c r="AX9" i="3" s="1"/>
  <c r="AH22" i="13" s="1"/>
  <c r="AH23" i="3"/>
  <c r="AH35" i="3"/>
  <c r="AX35" i="3" s="1"/>
  <c r="AH15" i="3"/>
  <c r="AX15" i="3" s="1"/>
  <c r="AH31" i="13" s="1"/>
  <c r="AH8" i="3"/>
  <c r="AX8" i="3" s="1"/>
  <c r="AH21" i="13" s="1"/>
  <c r="AH18" i="3"/>
  <c r="AX18" i="3" s="1"/>
  <c r="AH35" i="13" s="1"/>
  <c r="S18" i="13"/>
  <c r="R34" i="13"/>
  <c r="R18" i="13"/>
  <c r="R62" i="13" s="1"/>
  <c r="S34" i="13"/>
  <c r="Q34" i="13"/>
  <c r="Q18" i="13"/>
  <c r="Q62" i="13" s="1"/>
  <c r="U18" i="13"/>
  <c r="U34" i="13"/>
  <c r="AH5" i="3"/>
  <c r="AX5" i="3" s="1"/>
  <c r="AH17" i="13" s="1"/>
  <c r="AD15" i="13"/>
  <c r="AJ53" i="13"/>
  <c r="A33" i="7"/>
  <c r="A35" i="7" s="1"/>
  <c r="A37" i="7" s="1"/>
  <c r="A39" i="7" s="1"/>
  <c r="A41" i="7" s="1"/>
  <c r="A43" i="7" s="1"/>
  <c r="A45" i="7" s="1"/>
  <c r="A47" i="7" s="1"/>
  <c r="A49" i="7" s="1"/>
  <c r="A51" i="7" s="1"/>
  <c r="C26" i="9"/>
  <c r="I9" i="7"/>
  <c r="I10" i="7" s="1"/>
  <c r="U62" i="13" l="1"/>
  <c r="S62" i="13"/>
  <c r="S63" i="13" s="1"/>
  <c r="Z62" i="13"/>
  <c r="Z63" i="13" s="1"/>
  <c r="P63" i="13"/>
  <c r="AH4" i="3"/>
  <c r="AH47" i="3" s="1"/>
  <c r="AY29" i="3"/>
  <c r="AZ29" i="3" s="1"/>
  <c r="AJ46" i="13" s="1"/>
  <c r="AC47" i="3"/>
  <c r="AA16" i="13"/>
  <c r="AA15" i="13" s="1"/>
  <c r="AY6" i="3"/>
  <c r="AX23" i="3"/>
  <c r="AY9" i="3"/>
  <c r="AY24" i="3"/>
  <c r="AY20" i="3"/>
  <c r="AX19" i="3"/>
  <c r="AX25" i="3"/>
  <c r="AY26" i="3"/>
  <c r="AY14" i="3"/>
  <c r="AY18" i="3"/>
  <c r="AY13" i="3"/>
  <c r="AY8" i="3"/>
  <c r="AY7" i="3"/>
  <c r="AX21" i="3"/>
  <c r="AY15" i="3"/>
  <c r="AY22" i="3"/>
  <c r="AX12" i="3"/>
  <c r="AB18" i="13"/>
  <c r="AE18" i="13"/>
  <c r="AB34" i="13"/>
  <c r="AE34" i="13"/>
  <c r="AE62" i="13" s="1"/>
  <c r="AC34" i="13"/>
  <c r="AC18" i="13"/>
  <c r="AC62" i="13" s="1"/>
  <c r="AD18" i="13"/>
  <c r="AY35" i="3"/>
  <c r="R63" i="13"/>
  <c r="Q63" i="13"/>
  <c r="AD34" i="13"/>
  <c r="W34" i="13"/>
  <c r="W18" i="13"/>
  <c r="W62" i="13" s="1"/>
  <c r="U63" i="13"/>
  <c r="AB15" i="13"/>
  <c r="AY5" i="3"/>
  <c r="AA18" i="13"/>
  <c r="A53" i="7"/>
  <c r="A55" i="7" s="1"/>
  <c r="A57" i="7" s="1"/>
  <c r="A59" i="7" s="1"/>
  <c r="A61" i="7" s="1"/>
  <c r="J9" i="7"/>
  <c r="J10" i="7" s="1"/>
  <c r="AD62" i="13" l="1"/>
  <c r="AB62" i="13"/>
  <c r="AB63" i="13" s="1"/>
  <c r="AX4" i="3"/>
  <c r="AH16" i="13" s="1"/>
  <c r="AI46" i="13"/>
  <c r="BB29" i="3"/>
  <c r="W63" i="13"/>
  <c r="AY25" i="3"/>
  <c r="AH42" i="13"/>
  <c r="AZ26" i="3"/>
  <c r="AI43" i="13"/>
  <c r="AY19" i="3"/>
  <c r="AH36" i="13"/>
  <c r="AZ24" i="3"/>
  <c r="AI41" i="13"/>
  <c r="AZ14" i="3"/>
  <c r="AI30" i="13"/>
  <c r="AZ35" i="3"/>
  <c r="AZ9" i="3"/>
  <c r="AI22" i="13"/>
  <c r="AY12" i="3"/>
  <c r="AI28" i="13" s="1"/>
  <c r="AH28" i="13"/>
  <c r="AH27" i="13" s="1"/>
  <c r="AZ5" i="3"/>
  <c r="AJ17" i="13" s="1"/>
  <c r="AI17" i="13"/>
  <c r="AY21" i="3"/>
  <c r="AH38" i="13"/>
  <c r="AZ6" i="3"/>
  <c r="AI19" i="13"/>
  <c r="AZ18" i="3"/>
  <c r="AI35" i="13"/>
  <c r="AZ20" i="3"/>
  <c r="AI37" i="13"/>
  <c r="AY23" i="3"/>
  <c r="AH40" i="13"/>
  <c r="AZ22" i="3"/>
  <c r="AI39" i="13"/>
  <c r="AZ7" i="3"/>
  <c r="AI20" i="13"/>
  <c r="AZ13" i="3"/>
  <c r="AI29" i="13"/>
  <c r="AZ15" i="3"/>
  <c r="AI31" i="13"/>
  <c r="AZ8" i="3"/>
  <c r="AJ21" i="13" s="1"/>
  <c r="AI21" i="13"/>
  <c r="AF18" i="13"/>
  <c r="AA34" i="13"/>
  <c r="AA62" i="13" s="1"/>
  <c r="A63" i="7"/>
  <c r="A65" i="7" s="1"/>
  <c r="A67" i="7" s="1"/>
  <c r="A69" i="7" s="1"/>
  <c r="A71" i="7" s="1"/>
  <c r="A73" i="7" s="1"/>
  <c r="A75" i="7" s="1"/>
  <c r="A77" i="7" s="1"/>
  <c r="A79" i="7" s="1"/>
  <c r="A81" i="7" s="1"/>
  <c r="A83" i="7" s="1"/>
  <c r="A85" i="7" s="1"/>
  <c r="A87" i="7" s="1"/>
  <c r="A89" i="7" s="1"/>
  <c r="AK53" i="13"/>
  <c r="AH18" i="13"/>
  <c r="K9" i="7"/>
  <c r="K10" i="7" s="1"/>
  <c r="AK46" i="13" l="1"/>
  <c r="F26" i="16"/>
  <c r="AI27" i="13"/>
  <c r="AZ12" i="3"/>
  <c r="BB12" i="3" s="1"/>
  <c r="F11" i="16" s="1"/>
  <c r="BB8" i="3"/>
  <c r="AX47" i="3"/>
  <c r="AY4" i="3"/>
  <c r="AI16" i="13" s="1"/>
  <c r="AI15" i="13" s="1"/>
  <c r="BB5" i="3"/>
  <c r="BB22" i="3"/>
  <c r="F19" i="16" s="1"/>
  <c r="AJ39" i="13"/>
  <c r="BB20" i="3"/>
  <c r="F17" i="16" s="1"/>
  <c r="AJ37" i="13"/>
  <c r="AJ30" i="13"/>
  <c r="BB14" i="3"/>
  <c r="F13" i="16" s="1"/>
  <c r="AJ19" i="13"/>
  <c r="BB6" i="3"/>
  <c r="F6" i="16" s="1"/>
  <c r="AJ41" i="13"/>
  <c r="BB24" i="3"/>
  <c r="F21" i="16" s="1"/>
  <c r="AJ22" i="13"/>
  <c r="BB9" i="3"/>
  <c r="F9" i="16" s="1"/>
  <c r="BB15" i="3"/>
  <c r="F14" i="16" s="1"/>
  <c r="AJ31" i="13"/>
  <c r="AZ19" i="3"/>
  <c r="AI36" i="13"/>
  <c r="AJ35" i="13"/>
  <c r="BB18" i="3"/>
  <c r="F15" i="16" s="1"/>
  <c r="AZ21" i="3"/>
  <c r="AI38" i="13"/>
  <c r="BB35" i="3"/>
  <c r="F28" i="16" s="1"/>
  <c r="BB13" i="3"/>
  <c r="F12" i="16" s="1"/>
  <c r="AJ29" i="13"/>
  <c r="BB26" i="3"/>
  <c r="AJ43" i="13"/>
  <c r="AZ23" i="3"/>
  <c r="AI40" i="13"/>
  <c r="BB7" i="3"/>
  <c r="F7" i="16" s="1"/>
  <c r="AJ20" i="13"/>
  <c r="AZ25" i="3"/>
  <c r="AI42" i="13"/>
  <c r="AF34" i="13"/>
  <c r="AD63" i="13"/>
  <c r="AA63" i="13"/>
  <c r="AH34" i="13"/>
  <c r="AH15" i="13"/>
  <c r="AI18" i="13"/>
  <c r="L9" i="7"/>
  <c r="L10" i="7" s="1"/>
  <c r="AH62" i="13" l="1"/>
  <c r="AK17" i="13"/>
  <c r="F5" i="16"/>
  <c r="F23" i="16"/>
  <c r="AK21" i="13"/>
  <c r="F8" i="16"/>
  <c r="AZ4" i="3"/>
  <c r="F24" i="9" s="1"/>
  <c r="F26" i="9" s="1"/>
  <c r="C28" i="9" s="1"/>
  <c r="AJ28" i="13"/>
  <c r="AJ27" i="13" s="1"/>
  <c r="AY47" i="3"/>
  <c r="AK22" i="13"/>
  <c r="AJ42" i="13"/>
  <c r="BB25" i="3"/>
  <c r="AJ36" i="13"/>
  <c r="BB19" i="3"/>
  <c r="F16" i="16" s="1"/>
  <c r="AJ38" i="13"/>
  <c r="BB21" i="3"/>
  <c r="F18" i="16" s="1"/>
  <c r="AK41" i="13"/>
  <c r="AK35" i="13"/>
  <c r="AK31" i="13"/>
  <c r="AK37" i="13"/>
  <c r="AK30" i="13"/>
  <c r="AK39" i="13"/>
  <c r="AK20" i="13"/>
  <c r="AJ40" i="13"/>
  <c r="BB23" i="3"/>
  <c r="AK29" i="13"/>
  <c r="AK19" i="13"/>
  <c r="AK43" i="13"/>
  <c r="AK28" i="13"/>
  <c r="AF15" i="13"/>
  <c r="AF62" i="13" s="1"/>
  <c r="AH63" i="13"/>
  <c r="AI34" i="13"/>
  <c r="AI62" i="13" s="1"/>
  <c r="AJ18" i="13"/>
  <c r="M9" i="7"/>
  <c r="M10" i="7" s="1"/>
  <c r="AZ47" i="3" l="1"/>
  <c r="F20" i="16"/>
  <c r="F22" i="16"/>
  <c r="BB4" i="3"/>
  <c r="AJ16" i="13"/>
  <c r="AK27" i="13"/>
  <c r="AI63" i="13"/>
  <c r="AK18" i="13"/>
  <c r="AK38" i="13"/>
  <c r="AK36" i="13"/>
  <c r="AK40" i="13"/>
  <c r="AK42" i="13"/>
  <c r="AJ34" i="13"/>
  <c r="N9" i="7"/>
  <c r="N10" i="7" s="1"/>
  <c r="AJ15" i="13" l="1"/>
  <c r="AJ62" i="13"/>
  <c r="AJ63" i="13" s="1"/>
  <c r="BB47" i="3"/>
  <c r="F4" i="16"/>
  <c r="AK16" i="13"/>
  <c r="AK34" i="13"/>
  <c r="O9" i="7"/>
  <c r="O10" i="7" s="1"/>
  <c r="AK15" i="13" l="1"/>
  <c r="AK62" i="13" s="1"/>
  <c r="P9" i="7"/>
  <c r="P10" i="7" s="1"/>
  <c r="AK63" i="13" l="1"/>
  <c r="Q9" i="7"/>
  <c r="Q10" i="7" s="1"/>
  <c r="R9" i="7" l="1"/>
  <c r="R10" i="7" s="1"/>
  <c r="S9" i="7" l="1"/>
  <c r="S10" i="7" s="1"/>
  <c r="T9" i="7" l="1"/>
  <c r="T10" i="7" s="1"/>
  <c r="U9" i="7" l="1"/>
  <c r="U10" i="7" s="1"/>
  <c r="V9" i="7" l="1"/>
  <c r="V10" i="7" s="1"/>
  <c r="W9" i="7" l="1"/>
  <c r="W10" i="7" s="1"/>
  <c r="X9" i="7" l="1"/>
  <c r="X10" i="7" s="1"/>
  <c r="Y9" i="7" l="1"/>
  <c r="Y10" i="7" s="1"/>
  <c r="Z9" i="7" l="1"/>
  <c r="Z10" i="7" s="1"/>
  <c r="AA9" i="7" l="1"/>
  <c r="AA10" i="7" s="1"/>
  <c r="AB9" i="7" l="1"/>
  <c r="AB10" i="7" s="1"/>
  <c r="AC9" i="7" l="1"/>
  <c r="AC10" i="7" s="1"/>
  <c r="AD9" i="7" l="1"/>
  <c r="AD10" i="7" s="1"/>
  <c r="AE9" i="7" l="1"/>
  <c r="AE10" i="7" s="1"/>
  <c r="AF9" i="7" l="1"/>
  <c r="AF10" i="7" s="1"/>
  <c r="AG9" i="7" l="1"/>
  <c r="AG10" i="7" s="1"/>
  <c r="AH9" i="7" l="1"/>
  <c r="AH10" i="7" s="1"/>
  <c r="AI9" i="7" l="1"/>
  <c r="AI1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72B64233-5F40-41AF-9A03-E8F86D4D1AB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Nhập thông tin khi có nhân viên ký hđlđ mới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tc={1BC8DA6A-C104-47C0-93FA-FC015EC586E8}</author>
    <author>tc={0DD0D6E8-276D-4C08-B0D5-6AFA05433A6A}</author>
  </authors>
  <commentList>
    <comment ref="B4" authorId="0" shapeId="0" xr:uid="{25982693-9C21-4C02-BD6E-ECAA96912CF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ChỈ cần điền đúng Mã nhân viên theo Bảng thông tin, thì sẽ tự động hiện các thông tin phía sau</t>
        </r>
      </text>
    </comment>
    <comment ref="C42" authorId="1" shapeId="0" xr:uid="{1BC8DA6A-C104-47C0-93FA-FC015EC586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Net 9.5tr =&gt; Gross </t>
      </text>
    </comment>
    <comment ref="C43" authorId="2" shapeId="0" xr:uid="{0DD0D6E8-276D-4C08-B0D5-6AFA05433A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Lương Gross 10tr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tc={6EB220A6-40AF-44A0-AF75-A4376614A461}</author>
    <author>tc={DF5324C4-F203-48E7-90AD-0EF92E7AA039}</author>
    <author>tc={A14183F5-293D-43B3-82C4-7FAA59673D76}</author>
    <author>tc={5AA19DDA-8BE1-4205-B2B1-A327CB5FE8D0}</author>
    <author>tc={8B65B6B3-9C50-4FF5-810B-C5FD0757E1E8}</author>
    <author>tc={C7C42C06-6B2B-4AE3-A810-011A0FD69CAE}</author>
    <author>tc={5A0F18E6-D38F-4086-B3ED-61328A1AC8B7}</author>
  </authors>
  <commentList>
    <comment ref="AH21" authorId="0" shapeId="0" xr:uid="{6EB220A6-40AF-44A0-AF75-A4376614A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Thượng Hải</t>
      </text>
    </comment>
    <comment ref="E23" authorId="1" shapeId="0" xr:uid="{DF5324C4-F203-48E7-90AD-0EF92E7AA039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Thái Lan</t>
      </text>
    </comment>
    <comment ref="AH23" authorId="2" shapeId="0" xr:uid="{A14183F5-293D-43B3-82C4-7FAA59673D76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Thượng Hải</t>
      </text>
    </comment>
    <comment ref="AH27" authorId="3" shapeId="0" xr:uid="{5AA19DDA-8BE1-4205-B2B1-A327CB5FE8D0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Thượng Hải</t>
      </text>
    </comment>
    <comment ref="AH29" authorId="4" shapeId="0" xr:uid="{8B65B6B3-9C50-4FF5-810B-C5FD0757E1E8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Thượng Hải</t>
      </text>
    </comment>
    <comment ref="AH35" authorId="5" shapeId="0" xr:uid="{C7C42C06-6B2B-4AE3-A810-011A0FD69CAE}">
      <text>
        <t>[Threaded comment]
Your version of Excel allows you to read this threaded comment; however, any edits to it will get removed if the file is opened in a newer version of Excel. Learn more: https://go.microsoft.com/fwlink/?linkid=870924
Comment:
    Ctac Thượng Hải</t>
      </text>
    </comment>
    <comment ref="AE77" authorId="6" shapeId="0" xr:uid="{5A0F18E6-D38F-4086-B3ED-61328A1AC8B7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tác Thượng Hải</t>
      </text>
    </comment>
  </commentList>
</comments>
</file>

<file path=xl/sharedStrings.xml><?xml version="1.0" encoding="utf-8"?>
<sst xmlns="http://schemas.openxmlformats.org/spreadsheetml/2006/main" count="856" uniqueCount="358">
  <si>
    <t>CÔNG TY TNHH THIẾT KẾ THỜI TRANG LÂU ĐÀI JOLI POLI</t>
  </si>
  <si>
    <t>Mã số thuế : 0 3 1 8 0 8 6 0 4 8</t>
  </si>
  <si>
    <t>STT</t>
  </si>
  <si>
    <t>Mã NV</t>
  </si>
  <si>
    <t>Họ và tên</t>
  </si>
  <si>
    <t>Chức vụ</t>
  </si>
  <si>
    <t>Điện thoại</t>
  </si>
  <si>
    <t>Xăng xe</t>
  </si>
  <si>
    <t>QL001</t>
  </si>
  <si>
    <t>Phạm Đăng Anh Thư</t>
  </si>
  <si>
    <t>QL002</t>
  </si>
  <si>
    <t>Nguyễn Diệp Anh Tuấn</t>
  </si>
  <si>
    <t>Nguyễn Diệu Quý Chi</t>
  </si>
  <si>
    <t>NV004</t>
  </si>
  <si>
    <t>Phạm Đăng Anh Thảo</t>
  </si>
  <si>
    <t>NV011</t>
  </si>
  <si>
    <t>Nguyễn Thành Long</t>
  </si>
  <si>
    <t>NV012</t>
  </si>
  <si>
    <t>Nguyễn Thị Đài Trang</t>
  </si>
  <si>
    <t>NV001</t>
  </si>
  <si>
    <t>Nguyễn Thị Châu Loan</t>
  </si>
  <si>
    <t>NV005</t>
  </si>
  <si>
    <t>Nguyễn Văn Thái</t>
  </si>
  <si>
    <t>NV010</t>
  </si>
  <si>
    <t>Lê Hữu Thọ</t>
  </si>
  <si>
    <t>NV020</t>
  </si>
  <si>
    <t>Dương Nhựt Thành</t>
  </si>
  <si>
    <t>NV006</t>
  </si>
  <si>
    <t>Dương Nguyễn Anh Khoa</t>
  </si>
  <si>
    <t>NV007</t>
  </si>
  <si>
    <t>Mai Hà Xuân Phúc</t>
  </si>
  <si>
    <t>NV016</t>
  </si>
  <si>
    <t>Cao Ngân Giang</t>
  </si>
  <si>
    <t>NV017</t>
  </si>
  <si>
    <t>Lê Thị Hà</t>
  </si>
  <si>
    <t>NV018</t>
  </si>
  <si>
    <t>Nguyễn A Khương</t>
  </si>
  <si>
    <t>NV019</t>
  </si>
  <si>
    <t>Nguyễn Thị Minh Thoa</t>
  </si>
  <si>
    <t>NV022</t>
  </si>
  <si>
    <t>Du Kim Hân</t>
  </si>
  <si>
    <t>NV023</t>
  </si>
  <si>
    <t>Đặng Thu Sương</t>
  </si>
  <si>
    <t>NV009</t>
  </si>
  <si>
    <t>Trần Thị Thanh Dung</t>
  </si>
  <si>
    <t>NV015</t>
  </si>
  <si>
    <t>Võ Thị Hoà</t>
  </si>
  <si>
    <t>NV021</t>
  </si>
  <si>
    <t>Võ Thị Hoài</t>
  </si>
  <si>
    <t>HĐLĐ</t>
  </si>
  <si>
    <t>Giám Đốc</t>
  </si>
  <si>
    <t>Trưởng phòng</t>
  </si>
  <si>
    <t xml:space="preserve">Kinh doanh </t>
  </si>
  <si>
    <t>Phó phòng</t>
  </si>
  <si>
    <t>Nhân viên</t>
  </si>
  <si>
    <t>Logistic</t>
  </si>
  <si>
    <t xml:space="preserve">Kế toán </t>
  </si>
  <si>
    <t>Kế toán</t>
  </si>
  <si>
    <t>HCNS</t>
  </si>
  <si>
    <t>Sản xuất</t>
  </si>
  <si>
    <t>Tổ trưởng tổ 1</t>
  </si>
  <si>
    <t>Tổ trưởng tổ 2</t>
  </si>
  <si>
    <t>Loại HĐ</t>
  </si>
  <si>
    <t>Phòng ban</t>
  </si>
  <si>
    <t>Phụ Cấp Trách Nhiệm</t>
  </si>
  <si>
    <t>Tiền Ăn</t>
  </si>
  <si>
    <t>Lương cơ bản</t>
  </si>
  <si>
    <t>Tiền ăn</t>
  </si>
  <si>
    <t>Trang phục</t>
  </si>
  <si>
    <t>Tổng 
Thu Nhập
Miễn Thuế</t>
  </si>
  <si>
    <t>Các khoản miễn thuế</t>
  </si>
  <si>
    <t xml:space="preserve">BHXH BB (10.5%) </t>
  </si>
  <si>
    <t>Phí công đoàn 
(0.5%)</t>
  </si>
  <si>
    <t>Các khoản Giảm trừ (Bản thân, người phụ thuộc)</t>
  </si>
  <si>
    <t>Lương đóng
BHXH</t>
  </si>
  <si>
    <t>Lương 
cơ bản</t>
  </si>
  <si>
    <t>Tổng lương thực lĩnh</t>
  </si>
  <si>
    <t>Thuế TNCN 
NLĐ phải nộp</t>
  </si>
  <si>
    <t>Thu nhập
 tính thuế</t>
  </si>
  <si>
    <t>Thu nhập 
chịu thuế</t>
  </si>
  <si>
    <t>Tiền lương theo ngày công làm việc thực tế</t>
  </si>
  <si>
    <t>KPCĐ 
(2%)</t>
  </si>
  <si>
    <t>Các khoản NLĐ phải đóng</t>
  </si>
  <si>
    <t>Các khoản Công ty phải đóng</t>
  </si>
  <si>
    <t xml:space="preserve"> Số người phụ thuộc</t>
  </si>
  <si>
    <t>Tổng giảm trừ</t>
  </si>
  <si>
    <t>Tổng tiền lương thực tế</t>
  </si>
  <si>
    <t>Ngày công làm việc thực tế</t>
  </si>
  <si>
    <t>TỔNG CỘNG</t>
  </si>
  <si>
    <t>BẢNG TÍNH VÀ THANH TOÁN TIỀN LƯƠNG</t>
  </si>
  <si>
    <t>Địa chỉ :18 Võ Văn Kiệt, Phường Bến Thành, Thành phố Hồ Chí Minh</t>
  </si>
  <si>
    <t>Ngày nghỉ hưởng lương</t>
  </si>
  <si>
    <t>Số ngày nghỉ hưởng nguyên lương</t>
  </si>
  <si>
    <t>Số tiền</t>
  </si>
  <si>
    <t>Tiền lương tăng ca</t>
  </si>
  <si>
    <t>Giám Đốc
Tài Chính</t>
  </si>
  <si>
    <t>Họ và Tên</t>
  </si>
  <si>
    <t>Chức Danh</t>
  </si>
  <si>
    <t>Lương theo hợp đồng lao động</t>
  </si>
  <si>
    <t>Tạm Ứng</t>
  </si>
  <si>
    <t>Số ngày</t>
  </si>
  <si>
    <t>BHXH BB
(21.5%)</t>
  </si>
  <si>
    <t>KPCĐ
(2%)</t>
  </si>
  <si>
    <t>Tổng Lương
theo HĐLĐ</t>
  </si>
  <si>
    <t xml:space="preserve">Ngày công làm việc thực tế </t>
  </si>
  <si>
    <t>Lê Thị Hiếu</t>
  </si>
  <si>
    <t>Trần Thị Tú Anh</t>
  </si>
  <si>
    <t>Ngô Hồng Thắm</t>
  </si>
  <si>
    <t>Trần Tuấn Kiệt</t>
  </si>
  <si>
    <t>Tạm ứng</t>
  </si>
  <si>
    <t>Phụ Cấp 
Trách Nhiệm</t>
  </si>
  <si>
    <t>Người lập bảng</t>
  </si>
  <si>
    <t>Ban giám đốc</t>
  </si>
  <si>
    <t>Ngày trong tháng</t>
  </si>
  <si>
    <t>Tổng Cộng Số Ngày Công</t>
  </si>
  <si>
    <t>Chức Vụ</t>
  </si>
  <si>
    <t>Chú thích</t>
  </si>
  <si>
    <t>BẢNG CHẤM CÔNG</t>
  </si>
  <si>
    <t>Tháng</t>
  </si>
  <si>
    <t>Năm</t>
  </si>
  <si>
    <t>Ngày công bình thường</t>
  </si>
  <si>
    <t>Giờ Tăng ca thường</t>
  </si>
  <si>
    <t>Địa chỉ: 18 Võ Văn Kiệt, Phường Bến Thành, TP.HCM</t>
  </si>
  <si>
    <t>Họ Và Tên</t>
  </si>
  <si>
    <t>Ngày công chuẩn</t>
  </si>
  <si>
    <t>Ngày công thực tế</t>
  </si>
  <si>
    <t>PC trang phục</t>
  </si>
  <si>
    <t>PC điện thoại</t>
  </si>
  <si>
    <t>PC xăng xe</t>
  </si>
  <si>
    <t>Tổng ngày làm trong tháng</t>
  </si>
  <si>
    <t>Lương đóng BHBB</t>
  </si>
  <si>
    <t>Các khoản thu</t>
  </si>
  <si>
    <t xml:space="preserve">STT </t>
  </si>
  <si>
    <t>Các khoản chi</t>
  </si>
  <si>
    <t>Lương ngày công thực tế</t>
  </si>
  <si>
    <t>Bảo hiểm xã hội (8%)</t>
  </si>
  <si>
    <t>Bảo hiểm y tế (1,5%)</t>
  </si>
  <si>
    <t>Bảo hiểm thất nghiệp (1%)</t>
  </si>
  <si>
    <t>Thuế Thu Nhập Cá Nhân</t>
  </si>
  <si>
    <t>Tổng thu</t>
  </si>
  <si>
    <t>Tổng chi</t>
  </si>
  <si>
    <t>Tổng số tiền lương thực nhận :</t>
  </si>
  <si>
    <t>Tổng số tiền viết bằng chữ :</t>
  </si>
  <si>
    <t>Người lập phiếu</t>
  </si>
  <si>
    <t xml:space="preserve">                                                          Người nhận tiền</t>
  </si>
  <si>
    <t>Người nhận tiền</t>
  </si>
  <si>
    <t xml:space="preserve">                       Ký và ghi rõ họ tên</t>
  </si>
  <si>
    <t>Ký và ghi rõ họ tên</t>
  </si>
  <si>
    <t>PC trách nhiệm</t>
  </si>
  <si>
    <t>PC tiền ăn</t>
  </si>
  <si>
    <t>Phí công đoàn (0.5%)</t>
  </si>
  <si>
    <t>MST:0318086048</t>
  </si>
  <si>
    <t>PHIẾU CHI LƯƠNG</t>
  </si>
  <si>
    <r>
      <rPr>
        <b/>
        <sz val="12"/>
        <color theme="1"/>
        <rFont val="Times New Roman"/>
        <family val="1"/>
      </rPr>
      <t xml:space="preserve">P </t>
    </r>
    <r>
      <rPr>
        <sz val="12"/>
        <color theme="1"/>
        <rFont val="Times New Roman"/>
        <family val="1"/>
      </rPr>
      <t xml:space="preserve"> là nghỉ hưởng lương</t>
    </r>
  </si>
  <si>
    <r>
      <rPr>
        <b/>
        <sz val="12"/>
        <color theme="1"/>
        <rFont val="Times New Roman"/>
        <family val="1"/>
      </rPr>
      <t xml:space="preserve">N </t>
    </r>
    <r>
      <rPr>
        <sz val="12"/>
        <color theme="1"/>
        <rFont val="Times New Roman"/>
        <family val="1"/>
      </rPr>
      <t>là ngày nghỉ</t>
    </r>
  </si>
  <si>
    <t>Thủ kho trưởng</t>
  </si>
  <si>
    <t>Ngày công chuẩn: 26</t>
  </si>
  <si>
    <t>Giờ tăng ca thường</t>
  </si>
  <si>
    <t>Giờ tăng ca đêm</t>
  </si>
  <si>
    <t>Giờ tăng ca lễ tết</t>
  </si>
  <si>
    <t>Lương giờ tăng ca thường</t>
  </si>
  <si>
    <t>NV003</t>
  </si>
  <si>
    <t>L là ngày lễ hưởng lương</t>
  </si>
  <si>
    <t>Ngày Lễ</t>
  </si>
  <si>
    <t>Tiền thưởng (thưởng lễ, hiệu suất, KPI, T13)</t>
  </si>
  <si>
    <t>Các khoản Giảm trừ
 (Bản thân, người phụ thuộc)</t>
  </si>
  <si>
    <t>Trần Kiều Ánh Ly</t>
  </si>
  <si>
    <t>HĐDV</t>
  </si>
  <si>
    <t>HỌ VÀ TÊN</t>
  </si>
  <si>
    <t>CHỨC VỤ</t>
  </si>
  <si>
    <t>Lương ngày nghỉ hưởng lương</t>
  </si>
  <si>
    <t>NV024</t>
  </si>
  <si>
    <t>Công Ty TNHH Thiết Kế Thời Trang Lâu Đài Joli Poli</t>
  </si>
  <si>
    <t>Mã số thuế</t>
  </si>
  <si>
    <t>CCCD/CMND</t>
  </si>
  <si>
    <t>Tổng thu nhập</t>
  </si>
  <si>
    <t>Thuế TNCN khấu trừ</t>
  </si>
  <si>
    <t>Tổng thực nhận</t>
  </si>
  <si>
    <t>Hình thức thanh toán</t>
  </si>
  <si>
    <t>Chuyển khoản</t>
  </si>
  <si>
    <t>Nghỉ hưởng lương</t>
  </si>
  <si>
    <t>HĐTV</t>
  </si>
  <si>
    <t>NV025</t>
  </si>
  <si>
    <t>NV026</t>
  </si>
  <si>
    <t>NV027</t>
  </si>
  <si>
    <t>Nhân viên thử việc</t>
  </si>
  <si>
    <t>Các khoản hỗ trợ</t>
  </si>
  <si>
    <t>Tiền hỗ trợ theo ngày công thực tế</t>
  </si>
  <si>
    <t>LƯƠNG 
CƠ BẢN</t>
  </si>
  <si>
    <t>PHỤ CẤP TRÁCH NHIỆM</t>
  </si>
  <si>
    <t>TIỀN ĂN</t>
  </si>
  <si>
    <t>XĂNG XE</t>
  </si>
  <si>
    <t>ĐIỆN THOẠI</t>
  </si>
  <si>
    <t>TRANG PHỤC</t>
  </si>
  <si>
    <t>TẠM ỨNG</t>
  </si>
  <si>
    <t>PHÚC LỢI
(Thưởng Lễ, Tết, T13, Sinh nhật)</t>
  </si>
  <si>
    <t>MÃ NV</t>
  </si>
  <si>
    <t>LOẠI HĐ</t>
  </si>
  <si>
    <t>PHÒNG BAN</t>
  </si>
  <si>
    <t>LƯƠNG ĐÓNG
BHXH</t>
  </si>
  <si>
    <t>Sáng tạo</t>
  </si>
  <si>
    <t>TỔNG LƯƠNG THEO HĐLĐ</t>
  </si>
  <si>
    <t>Tiền thưởng (thưởng hiệu suất, KPI, T13,phúc lợi)</t>
  </si>
  <si>
    <t>BHYT
(3%)</t>
  </si>
  <si>
    <t>BHTN
(1%)</t>
  </si>
  <si>
    <t>TNLĐBNN
(0,5%)</t>
  </si>
  <si>
    <t>BHXH
(HT(14%)
 ÔĐ-TS(3%)</t>
  </si>
  <si>
    <t>BHXH
(8%)</t>
  </si>
  <si>
    <t>BHYT
(1,5%)</t>
  </si>
  <si>
    <t xml:space="preserve">Tổng cộng </t>
  </si>
  <si>
    <t>Tổng cộng</t>
  </si>
  <si>
    <t>GT Bản thân</t>
  </si>
  <si>
    <t>Số tiền GTNPT</t>
  </si>
  <si>
    <t>Tiền Lương, phụ cấp lương
Thỏa thuận trên HĐLĐ</t>
  </si>
  <si>
    <t>Tổng lương theo HĐLĐ</t>
  </si>
  <si>
    <t>Số ngày nghỉ</t>
  </si>
  <si>
    <t xml:space="preserve">Số giờ tăng ca thường
(150%) </t>
  </si>
  <si>
    <t>Số giờ tăng ca</t>
  </si>
  <si>
    <t>NV030</t>
  </si>
  <si>
    <t>NV036</t>
  </si>
  <si>
    <t>Nguyễn Hoàng Ngọc Châu</t>
  </si>
  <si>
    <t>NV031</t>
  </si>
  <si>
    <t>NV032</t>
  </si>
  <si>
    <t>NV033</t>
  </si>
  <si>
    <t>NV034</t>
  </si>
  <si>
    <t>NV035</t>
  </si>
  <si>
    <t>Vương Thị Ngọc Như</t>
  </si>
  <si>
    <t>Nhân viên tư vấn</t>
  </si>
  <si>
    <t>Tiết Trinh Nguyên</t>
  </si>
  <si>
    <t>Trần Ái Nhi</t>
  </si>
  <si>
    <t>Vũ Thị Loan</t>
  </si>
  <si>
    <t>Lê Các Anh</t>
  </si>
  <si>
    <t>Nguyễn Ngọc Bích</t>
  </si>
  <si>
    <t>TÌNH TRẠNG</t>
  </si>
  <si>
    <t>Người lập</t>
  </si>
  <si>
    <t xml:space="preserve">TRẦN KIỀU ÁNH LY </t>
  </si>
  <si>
    <t>VPBANK HCM</t>
  </si>
  <si>
    <t>Vũ Thị Mai Thủy</t>
  </si>
  <si>
    <t>NV037</t>
  </si>
  <si>
    <t xml:space="preserve">Vũ Thị Mai Thủy </t>
  </si>
  <si>
    <t>Kế toán trưởng</t>
  </si>
  <si>
    <t>Sinh nhật</t>
  </si>
  <si>
    <t>Note</t>
  </si>
  <si>
    <t>NHÂN VIÊN</t>
  </si>
  <si>
    <t>SỐ TÀI KHOẢN</t>
  </si>
  <si>
    <t>TÊN NGÂN HÀNG</t>
  </si>
  <si>
    <t xml:space="preserve">Ngân hàng Á Châu (ACB) </t>
  </si>
  <si>
    <t>099181818</t>
  </si>
  <si>
    <t>MB BANK</t>
  </si>
  <si>
    <t>19035479436011</t>
  </si>
  <si>
    <t>Techcombank</t>
  </si>
  <si>
    <t>19020400907015</t>
  </si>
  <si>
    <t>MB Bank</t>
  </si>
  <si>
    <t>180299688</t>
  </si>
  <si>
    <t>VP Bank- CN TPHCM</t>
  </si>
  <si>
    <t>413731542</t>
  </si>
  <si>
    <t>Vpbank</t>
  </si>
  <si>
    <t>0791305596979</t>
  </si>
  <si>
    <t>0909800460</t>
  </si>
  <si>
    <t>Ngân hành MB Bank</t>
  </si>
  <si>
    <t>0909957538</t>
  </si>
  <si>
    <t>0881000441209</t>
  </si>
  <si>
    <t>Vietcombank</t>
  </si>
  <si>
    <t>1900206185030</t>
  </si>
  <si>
    <t>Agribank CN Mạc Thị Bưởi</t>
  </si>
  <si>
    <t>0051000044614</t>
  </si>
  <si>
    <t>0913633030</t>
  </si>
  <si>
    <t>Timo Digital Bank by BVBank</t>
  </si>
  <si>
    <t>0431000272001</t>
  </si>
  <si>
    <t>986666333398</t>
  </si>
  <si>
    <t>060255720018</t>
  </si>
  <si>
    <t>Sacombank</t>
  </si>
  <si>
    <t>19038335716017</t>
  </si>
  <si>
    <t xml:space="preserve">Techcombank </t>
  </si>
  <si>
    <t>01920351302</t>
  </si>
  <si>
    <t>TP Bank</t>
  </si>
  <si>
    <t>108872533994</t>
  </si>
  <si>
    <t>Vietin Bank</t>
  </si>
  <si>
    <t>7290240630</t>
  </si>
  <si>
    <t>Ngân hàng BIDV</t>
  </si>
  <si>
    <t>34822957</t>
  </si>
  <si>
    <t>ACB</t>
  </si>
  <si>
    <t>8899991975</t>
  </si>
  <si>
    <t xml:space="preserve">0071001327211 </t>
  </si>
  <si>
    <t>0331003906720</t>
  </si>
  <si>
    <t>0251002712783</t>
  </si>
  <si>
    <t>19035642874011</t>
  </si>
  <si>
    <t xml:space="preserve">                                             B. PHÒNG KINH DOANH</t>
  </si>
  <si>
    <t xml:space="preserve">                                            D. PHÒNG SẢN XUẤT</t>
  </si>
  <si>
    <t xml:space="preserve">                                            E. PHÒNG SÁNG TẠO</t>
  </si>
  <si>
    <t xml:space="preserve">                                           F. PHÒNG KẾ TOÁN</t>
  </si>
  <si>
    <t xml:space="preserve">                                                                      G. PHÒNG HÀNH CHÍNH NHÂN SỰ</t>
  </si>
  <si>
    <t>VP Bank</t>
  </si>
  <si>
    <t xml:space="preserve">   </t>
  </si>
  <si>
    <t>Phòng Hành chính nhân sự</t>
  </si>
  <si>
    <t>Phòng kế toán</t>
  </si>
  <si>
    <t>Tổng Giám Đốc</t>
  </si>
  <si>
    <t xml:space="preserve">                                            C. PHÒNG LOGISTIC</t>
  </si>
  <si>
    <t>060191480557</t>
  </si>
  <si>
    <t>TECHCOM Bank</t>
  </si>
  <si>
    <t xml:space="preserve">TỔNG LƯƠNG
 THỰC LĨNH </t>
  </si>
  <si>
    <t xml:space="preserve">        Người lập bảng </t>
  </si>
  <si>
    <t xml:space="preserve">     Ban Giám Đốc</t>
  </si>
  <si>
    <t>NV038</t>
  </si>
  <si>
    <t>NV039</t>
  </si>
  <si>
    <t>NV040</t>
  </si>
  <si>
    <t>NV041</t>
  </si>
  <si>
    <t>Phạm Thị Kim Trang</t>
  </si>
  <si>
    <t>Nguyễn Ngọc Hân</t>
  </si>
  <si>
    <t>Trần Thị Ngọc Hân</t>
  </si>
  <si>
    <t>Võ Thị Xuân Dung</t>
  </si>
  <si>
    <t>NV042</t>
  </si>
  <si>
    <t>Kế Toán Trưởng</t>
  </si>
  <si>
    <t>ÔĐ là ngày hưởng chế độ ốm đau</t>
  </si>
  <si>
    <t xml:space="preserve">0768685196 </t>
  </si>
  <si>
    <t>VPBank</t>
  </si>
  <si>
    <t>0290084624444</t>
  </si>
  <si>
    <t>HĐGC</t>
  </si>
  <si>
    <t>Nguyễn Thị Duyên</t>
  </si>
  <si>
    <t>0984540024</t>
  </si>
  <si>
    <t>NGUYỄN THỊ DUYÊN</t>
  </si>
  <si>
    <t xml:space="preserve">Đơn vị tính: Đồng </t>
  </si>
  <si>
    <t>P.Kế toán</t>
  </si>
  <si>
    <t>BẢNG TÍNH VÀ THANH TOÁN TIỀN GIA CÔNG, DỊCH VỤ</t>
  </si>
  <si>
    <t>Tiền thưởng (thưởng lễ, hiệu suất, T13...)</t>
  </si>
  <si>
    <t>Lê Ái Như</t>
  </si>
  <si>
    <t>Bậc lương</t>
  </si>
  <si>
    <t>E.02.01</t>
  </si>
  <si>
    <t>NV043</t>
  </si>
  <si>
    <t>NV044</t>
  </si>
  <si>
    <t>Ỳ Khố Lệ</t>
  </si>
  <si>
    <t>Nguyễn Thị Ngọc</t>
  </si>
  <si>
    <t>Báo tăng BHXH tháng 06</t>
  </si>
  <si>
    <t>D04.01</t>
  </si>
  <si>
    <t>Ngày nhận việc 01/06/2026</t>
  </si>
  <si>
    <t>Ngày nhận việc 15/06/2026</t>
  </si>
  <si>
    <t>Thưởng</t>
  </si>
  <si>
    <t>Thử việc 1 tháng</t>
  </si>
  <si>
    <t>Thử việc 2 tháng</t>
  </si>
  <si>
    <t>Phép có tháng 06</t>
  </si>
  <si>
    <t>P</t>
  </si>
  <si>
    <t>N</t>
  </si>
  <si>
    <t>Phép còn lại</t>
  </si>
  <si>
    <t>Hết tháng 7 nghỉ việc</t>
  </si>
  <si>
    <t>Báo giảm BH tháng 7</t>
  </si>
  <si>
    <t>Giờ Tăng ca ngày nghỉ</t>
  </si>
  <si>
    <t xml:space="preserve">Số giờ ngày nghỉ
(200%) </t>
  </si>
  <si>
    <t>Tháng 06 năm 2026</t>
  </si>
  <si>
    <t xml:space="preserve">Số giờ </t>
  </si>
  <si>
    <t>Số giờ</t>
  </si>
  <si>
    <t>Tăng ca ngày thường (150%)</t>
  </si>
  <si>
    <t>Tăng ca ngày nghỉ (200%)</t>
  </si>
  <si>
    <t>DANH SÁCH SỐ TÀI KHOẢN NHÂN VIÊN THÁNG 06.2026</t>
  </si>
  <si>
    <t>Tháng 06 Năm 2026</t>
  </si>
  <si>
    <t>Lương giờ tăng ca ngày nghỉ</t>
  </si>
  <si>
    <t>0779696682</t>
  </si>
  <si>
    <t>Tạm tính</t>
  </si>
  <si>
    <t xml:space="preserve">                                      A. BAN 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</si>
</sst>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0"/>
    <numFmt numFmtId="167" formatCode="_-* #,##0.00\ _€_-;\-* #,##0.00\ _€_-;_-* &quot;-&quot;??\ _€_-;_-@_-"/>
    <numFmt numFmtId="168" formatCode="_(* #,##0.0_);_(* \(#,##0.0\);_(* &quot;-&quot;??_);_(@_)"/>
    <numFmt numFmtId="169" formatCode="_(* #,##0_);_(* \(#,##0\);_(* &quot;-&quot;??_);_(@_)"/>
    <numFmt numFmtId="170" formatCode="dd"/>
    <numFmt numFmtId="171" formatCode="000000000000"/>
  </numFmts>
  <fonts count="6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indexed="8"/>
      <name val="Times New Roman"/>
      <family val="1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6"/>
      <name val="Times New Roman"/>
      <family val="1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FFFFFF"/>
      <name val="Times New Roman"/>
      <family val="1"/>
    </font>
    <font>
      <b/>
      <i/>
      <u/>
      <sz val="12"/>
      <color theme="1"/>
      <name val="Times New Roman"/>
      <family val="1"/>
    </font>
    <font>
      <i/>
      <sz val="14"/>
      <color rgb="FF000000"/>
      <name val="Times New Roman"/>
      <family val="1"/>
    </font>
    <font>
      <b/>
      <sz val="11.5"/>
      <color theme="1"/>
      <name val="Times New Roman"/>
      <family val="1"/>
    </font>
    <font>
      <b/>
      <sz val="11.5"/>
      <name val="Times New Roman"/>
      <family val="1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11"/>
      <color rgb="FF292929"/>
      <name val="Times New Roman"/>
      <family val="1"/>
    </font>
    <font>
      <b/>
      <sz val="12"/>
      <color rgb="FF292929"/>
      <name val="Times New Roman"/>
      <family val="1"/>
    </font>
    <font>
      <b/>
      <sz val="12"/>
      <color rgb="FFFFFFFF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4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6"/>
      <color theme="1"/>
      <name val="Times New Roman"/>
      <family val="1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1"/>
      <color theme="4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0" fontId="3" fillId="0" borderId="0" applyProtection="0"/>
    <xf numFmtId="167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Protection="0"/>
    <xf numFmtId="0" fontId="15" fillId="0" borderId="0"/>
    <xf numFmtId="0" fontId="25" fillId="0" borderId="0"/>
  </cellStyleXfs>
  <cellXfs count="461">
    <xf numFmtId="0" fontId="0" fillId="0" borderId="0" xfId="0"/>
    <xf numFmtId="0" fontId="8" fillId="0" borderId="0" xfId="1" applyFont="1" applyAlignment="1">
      <alignment horizontal="center" vertical="center"/>
    </xf>
    <xf numFmtId="165" fontId="9" fillId="0" borderId="0" xfId="2" applyNumberFormat="1" applyFont="1" applyFill="1" applyBorder="1" applyAlignment="1">
      <alignment horizontal="center" vertical="center"/>
    </xf>
    <xf numFmtId="0" fontId="9" fillId="0" borderId="0" xfId="1" applyFont="1"/>
    <xf numFmtId="165" fontId="9" fillId="0" borderId="0" xfId="2" applyNumberFormat="1" applyFont="1" applyFill="1" applyBorder="1" applyAlignment="1"/>
    <xf numFmtId="0" fontId="4" fillId="0" borderId="0" xfId="0" applyFont="1"/>
    <xf numFmtId="169" fontId="4" fillId="0" borderId="0" xfId="5" applyNumberFormat="1" applyFont="1" applyBorder="1"/>
    <xf numFmtId="168" fontId="4" fillId="0" borderId="0" xfId="5" applyNumberFormat="1" applyFont="1" applyBorder="1"/>
    <xf numFmtId="0" fontId="4" fillId="0" borderId="0" xfId="0" applyFont="1" applyAlignment="1">
      <alignment horizontal="center" vertical="center"/>
    </xf>
    <xf numFmtId="43" fontId="4" fillId="0" borderId="0" xfId="5" applyFont="1" applyBorder="1"/>
    <xf numFmtId="169" fontId="4" fillId="0" borderId="0" xfId="5" applyNumberFormat="1" applyFont="1" applyBorder="1" applyAlignment="1"/>
    <xf numFmtId="0" fontId="6" fillId="0" borderId="0" xfId="0" applyFont="1"/>
    <xf numFmtId="0" fontId="4" fillId="0" borderId="0" xfId="0" applyFont="1" applyAlignment="1">
      <alignment horizontal="center" wrapText="1"/>
    </xf>
    <xf numFmtId="0" fontId="8" fillId="2" borderId="0" xfId="1" applyFont="1" applyFill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9" fillId="0" borderId="0" xfId="1" applyFont="1" applyProtection="1">
      <protection hidden="1"/>
    </xf>
    <xf numFmtId="0" fontId="9" fillId="0" borderId="0" xfId="1" applyFont="1" applyAlignment="1" applyProtection="1">
      <alignment horizontal="center" wrapText="1"/>
      <protection hidden="1"/>
    </xf>
    <xf numFmtId="169" fontId="9" fillId="0" borderId="0" xfId="5" applyNumberFormat="1" applyFont="1" applyBorder="1" applyAlignment="1" applyProtection="1">
      <protection hidden="1"/>
    </xf>
    <xf numFmtId="169" fontId="9" fillId="0" borderId="0" xfId="5" applyNumberFormat="1" applyFont="1" applyBorder="1" applyProtection="1">
      <protection hidden="1"/>
    </xf>
    <xf numFmtId="169" fontId="9" fillId="0" borderId="0" xfId="5" applyNumberFormat="1" applyFont="1" applyBorder="1" applyAlignment="1" applyProtection="1">
      <alignment horizontal="left" vertical="center"/>
      <protection hidden="1"/>
    </xf>
    <xf numFmtId="169" fontId="14" fillId="0" borderId="0" xfId="5" applyNumberFormat="1" applyFont="1" applyBorder="1" applyAlignment="1" applyProtection="1">
      <alignment horizontal="left" vertical="center"/>
      <protection hidden="1"/>
    </xf>
    <xf numFmtId="169" fontId="14" fillId="0" borderId="0" xfId="5" applyNumberFormat="1" applyFont="1" applyBorder="1" applyAlignment="1" applyProtection="1">
      <alignment horizontal="left"/>
      <protection hidden="1"/>
    </xf>
    <xf numFmtId="169" fontId="14" fillId="0" borderId="0" xfId="5" applyNumberFormat="1" applyFont="1" applyBorder="1" applyAlignment="1" applyProtection="1">
      <alignment horizontal="center" vertical="center"/>
      <protection hidden="1"/>
    </xf>
    <xf numFmtId="168" fontId="9" fillId="0" borderId="0" xfId="5" applyNumberFormat="1" applyFont="1" applyBorder="1" applyProtection="1">
      <protection hidden="1"/>
    </xf>
    <xf numFmtId="169" fontId="8" fillId="0" borderId="0" xfId="5" applyNumberFormat="1" applyFont="1" applyBorder="1" applyAlignment="1" applyProtection="1">
      <alignment vertical="center"/>
      <protection hidden="1"/>
    </xf>
    <xf numFmtId="169" fontId="6" fillId="3" borderId="1" xfId="5" applyNumberFormat="1" applyFont="1" applyFill="1" applyBorder="1" applyAlignment="1" applyProtection="1">
      <alignment horizontal="center" vertical="center" wrapText="1"/>
      <protection hidden="1"/>
    </xf>
    <xf numFmtId="169" fontId="6" fillId="3" borderId="2" xfId="5" applyNumberFormat="1" applyFont="1" applyFill="1" applyBorder="1" applyAlignment="1" applyProtection="1">
      <alignment horizontal="center" vertical="center" wrapText="1"/>
      <protection hidden="1"/>
    </xf>
    <xf numFmtId="43" fontId="6" fillId="3" borderId="1" xfId="5" applyFont="1" applyFill="1" applyBorder="1" applyAlignment="1" applyProtection="1">
      <alignment horizontal="center" vertical="center" wrapText="1"/>
      <protection hidden="1"/>
    </xf>
    <xf numFmtId="165" fontId="4" fillId="3" borderId="1" xfId="2" applyNumberFormat="1" applyFont="1" applyFill="1" applyBorder="1" applyAlignment="1" applyProtection="1">
      <alignment horizontal="center" vertical="center"/>
      <protection hidden="1"/>
    </xf>
    <xf numFmtId="3" fontId="6" fillId="0" borderId="1" xfId="0" applyNumberFormat="1" applyFont="1" applyBorder="1" applyAlignment="1" applyProtection="1">
      <alignment horizontal="center" vertical="center"/>
      <protection hidden="1"/>
    </xf>
    <xf numFmtId="166" fontId="10" fillId="2" borderId="1" xfId="0" applyNumberFormat="1" applyFont="1" applyFill="1" applyBorder="1" applyAlignment="1" applyProtection="1">
      <alignment horizontal="center" vertical="center"/>
      <protection hidden="1"/>
    </xf>
    <xf numFmtId="166" fontId="4" fillId="2" borderId="1" xfId="0" quotePrefix="1" applyNumberFormat="1" applyFont="1" applyFill="1" applyBorder="1" applyAlignment="1" applyProtection="1">
      <alignment horizontal="center" vertical="center"/>
      <protection hidden="1"/>
    </xf>
    <xf numFmtId="169" fontId="4" fillId="0" borderId="0" xfId="5" applyNumberFormat="1" applyFont="1"/>
    <xf numFmtId="169" fontId="14" fillId="0" borderId="0" xfId="5" applyNumberFormat="1" applyFont="1" applyBorder="1" applyAlignment="1" applyProtection="1">
      <alignment horizontal="right" vertical="center"/>
      <protection hidden="1"/>
    </xf>
    <xf numFmtId="0" fontId="4" fillId="2" borderId="0" xfId="1" applyFont="1" applyFill="1" applyAlignment="1" applyProtection="1">
      <alignment vertical="center"/>
      <protection hidden="1"/>
    </xf>
    <xf numFmtId="169" fontId="4" fillId="0" borderId="0" xfId="5" applyNumberFormat="1" applyFont="1" applyAlignment="1"/>
    <xf numFmtId="43" fontId="14" fillId="0" borderId="0" xfId="5" applyFont="1" applyBorder="1" applyAlignment="1" applyProtection="1">
      <alignment horizontal="right" vertical="center"/>
      <protection hidden="1"/>
    </xf>
    <xf numFmtId="43" fontId="4" fillId="0" borderId="0" xfId="5" applyFont="1"/>
    <xf numFmtId="0" fontId="9" fillId="0" borderId="0" xfId="1" applyFont="1" applyAlignment="1" applyProtection="1">
      <alignment horizontal="left" vertical="center" wrapText="1"/>
      <protection hidden="1"/>
    </xf>
    <xf numFmtId="169" fontId="4" fillId="0" borderId="0" xfId="5" applyNumberFormat="1" applyFont="1" applyAlignment="1">
      <alignment horizontal="left" vertical="center" wrapText="1"/>
    </xf>
    <xf numFmtId="3" fontId="17" fillId="2" borderId="0" xfId="1" applyNumberFormat="1" applyFont="1" applyFill="1" applyAlignment="1" applyProtection="1">
      <alignment horizontal="left" vertical="center"/>
      <protection hidden="1"/>
    </xf>
    <xf numFmtId="3" fontId="20" fillId="2" borderId="0" xfId="1" applyNumberFormat="1" applyFont="1" applyFill="1" applyAlignment="1" applyProtection="1">
      <alignment horizontal="left" vertical="center"/>
      <protection hidden="1"/>
    </xf>
    <xf numFmtId="3" fontId="21" fillId="0" borderId="0" xfId="1" applyNumberFormat="1" applyFont="1" applyAlignment="1" applyProtection="1">
      <alignment horizontal="left" wrapText="1"/>
      <protection hidden="1"/>
    </xf>
    <xf numFmtId="3" fontId="21" fillId="0" borderId="0" xfId="1" applyNumberFormat="1" applyFont="1" applyAlignment="1" applyProtection="1">
      <alignment horizontal="center" wrapText="1"/>
      <protection hidden="1"/>
    </xf>
    <xf numFmtId="3" fontId="21" fillId="0" borderId="0" xfId="1" applyNumberFormat="1" applyFont="1" applyAlignment="1" applyProtection="1">
      <alignment horizontal="left"/>
      <protection hidden="1"/>
    </xf>
    <xf numFmtId="169" fontId="21" fillId="0" borderId="0" xfId="5" applyNumberFormat="1" applyFont="1" applyBorder="1" applyAlignment="1" applyProtection="1">
      <alignment horizontal="left"/>
      <protection hidden="1"/>
    </xf>
    <xf numFmtId="43" fontId="21" fillId="0" borderId="0" xfId="5" applyFont="1" applyBorder="1" applyAlignment="1" applyProtection="1">
      <alignment horizontal="left"/>
      <protection hidden="1"/>
    </xf>
    <xf numFmtId="168" fontId="21" fillId="0" borderId="0" xfId="5" applyNumberFormat="1" applyFont="1" applyBorder="1" applyAlignment="1" applyProtection="1">
      <alignment horizontal="left"/>
      <protection hidden="1"/>
    </xf>
    <xf numFmtId="3" fontId="21" fillId="0" borderId="0" xfId="1" applyNumberFormat="1" applyFont="1" applyAlignment="1">
      <alignment horizontal="left"/>
    </xf>
    <xf numFmtId="3" fontId="22" fillId="2" borderId="0" xfId="1" applyNumberFormat="1" applyFont="1" applyFill="1" applyAlignment="1" applyProtection="1">
      <alignment horizontal="left" vertical="center"/>
      <protection hidden="1"/>
    </xf>
    <xf numFmtId="169" fontId="23" fillId="0" borderId="0" xfId="5" applyNumberFormat="1" applyFont="1" applyBorder="1" applyProtection="1">
      <protection hidden="1"/>
    </xf>
    <xf numFmtId="0" fontId="24" fillId="2" borderId="0" xfId="1" applyFont="1" applyFill="1" applyAlignment="1" applyProtection="1">
      <alignment horizontal="center" vertical="center"/>
      <protection hidden="1"/>
    </xf>
    <xf numFmtId="43" fontId="24" fillId="2" borderId="0" xfId="5" applyFont="1" applyFill="1" applyAlignment="1" applyProtection="1">
      <alignment horizontal="right" vertical="center"/>
      <protection hidden="1"/>
    </xf>
    <xf numFmtId="0" fontId="24" fillId="2" borderId="0" xfId="1" applyFont="1" applyFill="1" applyAlignment="1" applyProtection="1">
      <alignment vertical="center"/>
      <protection hidden="1"/>
    </xf>
    <xf numFmtId="169" fontId="17" fillId="0" borderId="0" xfId="5" applyNumberFormat="1" applyFont="1" applyAlignment="1">
      <alignment horizontal="left" vertical="center" wrapText="1"/>
    </xf>
    <xf numFmtId="166" fontId="6" fillId="2" borderId="5" xfId="0" applyNumberFormat="1" applyFont="1" applyFill="1" applyBorder="1" applyAlignment="1" applyProtection="1">
      <alignment horizontal="center" vertical="center"/>
      <protection hidden="1"/>
    </xf>
    <xf numFmtId="166" fontId="6" fillId="2" borderId="4" xfId="0" applyNumberFormat="1" applyFont="1" applyFill="1" applyBorder="1" applyAlignment="1" applyProtection="1">
      <alignment horizontal="center" vertical="center"/>
      <protection hidden="1"/>
    </xf>
    <xf numFmtId="165" fontId="26" fillId="0" borderId="10" xfId="2" applyNumberFormat="1" applyFont="1" applyBorder="1" applyAlignment="1">
      <alignment vertical="top"/>
    </xf>
    <xf numFmtId="165" fontId="26" fillId="0" borderId="9" xfId="2" applyNumberFormat="1" applyFont="1" applyBorder="1" applyAlignment="1">
      <alignment vertical="top"/>
    </xf>
    <xf numFmtId="0" fontId="30" fillId="0" borderId="0" xfId="1" applyFont="1"/>
    <xf numFmtId="165" fontId="27" fillId="0" borderId="10" xfId="2" applyNumberFormat="1" applyFont="1" applyBorder="1" applyAlignment="1">
      <alignment vertical="top"/>
    </xf>
    <xf numFmtId="165" fontId="26" fillId="0" borderId="10" xfId="2" applyNumberFormat="1" applyFont="1" applyBorder="1" applyAlignment="1">
      <alignment horizontal="center" vertical="top"/>
    </xf>
    <xf numFmtId="0" fontId="30" fillId="0" borderId="10" xfId="1" applyFont="1" applyBorder="1"/>
    <xf numFmtId="0" fontId="30" fillId="0" borderId="11" xfId="1" applyFont="1" applyBorder="1"/>
    <xf numFmtId="164" fontId="27" fillId="0" borderId="11" xfId="2" applyFont="1" applyBorder="1" applyAlignment="1">
      <alignment horizontal="center" vertical="top"/>
    </xf>
    <xf numFmtId="165" fontId="26" fillId="0" borderId="12" xfId="2" applyNumberFormat="1" applyFont="1" applyBorder="1" applyAlignment="1">
      <alignment vertical="top"/>
    </xf>
    <xf numFmtId="0" fontId="30" fillId="0" borderId="10" xfId="1" applyFont="1" applyBorder="1" applyAlignment="1">
      <alignment horizontal="center" vertical="center"/>
    </xf>
    <xf numFmtId="0" fontId="29" fillId="0" borderId="13" xfId="1" applyFont="1" applyBorder="1"/>
    <xf numFmtId="0" fontId="29" fillId="0" borderId="13" xfId="1" applyFont="1" applyBorder="1" applyAlignment="1">
      <alignment horizontal="center"/>
    </xf>
    <xf numFmtId="0" fontId="30" fillId="0" borderId="0" xfId="1" applyFont="1" applyAlignment="1">
      <alignment horizontal="center"/>
    </xf>
    <xf numFmtId="164" fontId="27" fillId="0" borderId="0" xfId="2" applyFont="1" applyBorder="1" applyAlignment="1">
      <alignment horizontal="center" vertical="top"/>
    </xf>
    <xf numFmtId="165" fontId="26" fillId="0" borderId="0" xfId="2" applyNumberFormat="1" applyFont="1" applyBorder="1" applyAlignment="1">
      <alignment horizontal="center" vertical="top"/>
    </xf>
    <xf numFmtId="165" fontId="26" fillId="0" borderId="0" xfId="2" applyNumberFormat="1" applyFont="1" applyBorder="1" applyAlignment="1">
      <alignment vertical="top"/>
    </xf>
    <xf numFmtId="0" fontId="29" fillId="0" borderId="11" xfId="1" applyFont="1" applyBorder="1"/>
    <xf numFmtId="165" fontId="29" fillId="0" borderId="11" xfId="1" applyNumberFormat="1" applyFont="1" applyBorder="1"/>
    <xf numFmtId="165" fontId="27" fillId="0" borderId="11" xfId="2" applyNumberFormat="1" applyFont="1" applyFill="1" applyBorder="1" applyAlignment="1">
      <alignment vertical="top"/>
    </xf>
    <xf numFmtId="0" fontId="30" fillId="0" borderId="14" xfId="1" applyFont="1" applyBorder="1" applyAlignment="1">
      <alignment horizontal="center" vertical="center"/>
    </xf>
    <xf numFmtId="165" fontId="26" fillId="0" borderId="18" xfId="2" applyNumberFormat="1" applyFont="1" applyBorder="1" applyAlignment="1">
      <alignment vertical="top"/>
    </xf>
    <xf numFmtId="165" fontId="26" fillId="0" borderId="21" xfId="2" applyNumberFormat="1" applyFont="1" applyBorder="1" applyAlignment="1">
      <alignment horizontal="center" vertical="top"/>
    </xf>
    <xf numFmtId="0" fontId="30" fillId="0" borderId="23" xfId="1" applyFont="1" applyBorder="1"/>
    <xf numFmtId="0" fontId="30" fillId="0" borderId="7" xfId="1" applyFont="1" applyBorder="1"/>
    <xf numFmtId="0" fontId="30" fillId="0" borderId="24" xfId="1" applyFont="1" applyBorder="1"/>
    <xf numFmtId="164" fontId="27" fillId="0" borderId="10" xfId="2" applyFont="1" applyBorder="1" applyAlignment="1">
      <alignment horizontal="center" vertical="top"/>
    </xf>
    <xf numFmtId="165" fontId="26" fillId="0" borderId="19" xfId="2" applyNumberFormat="1" applyFont="1" applyBorder="1" applyAlignment="1">
      <alignment vertical="top"/>
    </xf>
    <xf numFmtId="165" fontId="26" fillId="0" borderId="19" xfId="2" applyNumberFormat="1" applyFont="1" applyBorder="1" applyAlignment="1">
      <alignment horizontal="center" vertical="top"/>
    </xf>
    <xf numFmtId="165" fontId="26" fillId="0" borderId="0" xfId="2" applyNumberFormat="1" applyFont="1" applyBorder="1" applyAlignment="1">
      <alignment horizontal="center" vertical="center"/>
    </xf>
    <xf numFmtId="165" fontId="26" fillId="0" borderId="21" xfId="2" applyNumberFormat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/>
    </xf>
    <xf numFmtId="0" fontId="30" fillId="0" borderId="7" xfId="1" applyFont="1" applyBorder="1" applyAlignment="1">
      <alignment horizontal="center" vertical="center"/>
    </xf>
    <xf numFmtId="165" fontId="27" fillId="0" borderId="10" xfId="2" applyNumberFormat="1" applyFont="1" applyBorder="1" applyAlignment="1">
      <alignment horizontal="left" vertical="center"/>
    </xf>
    <xf numFmtId="165" fontId="26" fillId="0" borderId="10" xfId="2" applyNumberFormat="1" applyFont="1" applyBorder="1" applyAlignment="1">
      <alignment horizontal="left" vertical="top"/>
    </xf>
    <xf numFmtId="165" fontId="26" fillId="0" borderId="10" xfId="2" applyNumberFormat="1" applyFont="1" applyBorder="1" applyAlignment="1">
      <alignment horizontal="left" vertical="center"/>
    </xf>
    <xf numFmtId="165" fontId="26" fillId="0" borderId="10" xfId="2" applyNumberFormat="1" applyFont="1" applyFill="1" applyBorder="1" applyAlignment="1">
      <alignment horizontal="left" vertical="center"/>
    </xf>
    <xf numFmtId="0" fontId="30" fillId="0" borderId="10" xfId="1" applyFon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33" fillId="0" borderId="0" xfId="0" applyFont="1"/>
    <xf numFmtId="43" fontId="26" fillId="0" borderId="10" xfId="5" applyFont="1" applyBorder="1" applyAlignment="1">
      <alignment horizontal="center" vertical="top"/>
    </xf>
    <xf numFmtId="43" fontId="26" fillId="0" borderId="10" xfId="5" applyFont="1" applyBorder="1" applyAlignment="1">
      <alignment horizontal="center" vertical="top" wrapText="1"/>
    </xf>
    <xf numFmtId="169" fontId="26" fillId="0" borderId="10" xfId="5" applyNumberFormat="1" applyFont="1" applyBorder="1" applyAlignment="1">
      <alignment horizontal="center" vertical="top" wrapText="1"/>
    </xf>
    <xf numFmtId="169" fontId="26" fillId="0" borderId="10" xfId="5" applyNumberFormat="1" applyFont="1" applyBorder="1" applyAlignment="1">
      <alignment vertical="center" wrapText="1"/>
    </xf>
    <xf numFmtId="169" fontId="27" fillId="0" borderId="10" xfId="5" applyNumberFormat="1" applyFont="1" applyBorder="1" applyAlignment="1">
      <alignment horizontal="center" vertical="top" wrapText="1"/>
    </xf>
    <xf numFmtId="165" fontId="27" fillId="0" borderId="10" xfId="2" applyNumberFormat="1" applyFont="1" applyBorder="1" applyAlignment="1">
      <alignment horizontal="left" vertical="top"/>
    </xf>
    <xf numFmtId="165" fontId="27" fillId="0" borderId="10" xfId="2" applyNumberFormat="1" applyFont="1" applyBorder="1" applyAlignment="1">
      <alignment horizontal="center" vertical="center" wrapText="1"/>
    </xf>
    <xf numFmtId="0" fontId="29" fillId="0" borderId="0" xfId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170" fontId="4" fillId="4" borderId="31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/>
    </xf>
    <xf numFmtId="43" fontId="33" fillId="0" borderId="0" xfId="0" applyNumberFormat="1" applyFont="1" applyAlignment="1">
      <alignment horizontal="center" vertical="center"/>
    </xf>
    <xf numFmtId="43" fontId="35" fillId="0" borderId="0" xfId="0" applyNumberFormat="1" applyFont="1" applyAlignment="1">
      <alignment horizontal="center" vertical="center"/>
    </xf>
    <xf numFmtId="43" fontId="34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17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5" fontId="27" fillId="0" borderId="20" xfId="2" applyNumberFormat="1" applyFont="1" applyBorder="1" applyAlignment="1">
      <alignment horizontal="left" vertical="top"/>
    </xf>
    <xf numFmtId="165" fontId="27" fillId="0" borderId="21" xfId="2" applyNumberFormat="1" applyFont="1" applyBorder="1" applyAlignment="1">
      <alignment horizontal="left" vertical="top"/>
    </xf>
    <xf numFmtId="165" fontId="32" fillId="0" borderId="23" xfId="2" applyNumberFormat="1" applyFont="1" applyBorder="1" applyAlignment="1">
      <alignment horizontal="left" vertical="top"/>
    </xf>
    <xf numFmtId="165" fontId="32" fillId="0" borderId="7" xfId="2" applyNumberFormat="1" applyFont="1" applyBorder="1" applyAlignment="1">
      <alignment horizontal="left" vertical="top"/>
    </xf>
    <xf numFmtId="165" fontId="26" fillId="0" borderId="8" xfId="2" applyNumberFormat="1" applyFont="1" applyBorder="1" applyAlignment="1">
      <alignment vertical="center"/>
    </xf>
    <xf numFmtId="0" fontId="30" fillId="0" borderId="25" xfId="1" applyFont="1" applyBorder="1" applyAlignment="1">
      <alignment vertical="center" wrapText="1"/>
    </xf>
    <xf numFmtId="165" fontId="27" fillId="0" borderId="21" xfId="2" applyNumberFormat="1" applyFont="1" applyBorder="1" applyAlignment="1">
      <alignment horizontal="center" vertical="top"/>
    </xf>
    <xf numFmtId="169" fontId="37" fillId="0" borderId="0" xfId="5" applyNumberFormat="1" applyFont="1" applyBorder="1" applyAlignment="1" applyProtection="1">
      <alignment horizontal="left" vertical="center"/>
      <protection hidden="1"/>
    </xf>
    <xf numFmtId="165" fontId="26" fillId="0" borderId="20" xfId="2" applyNumberFormat="1" applyFont="1" applyBorder="1" applyAlignment="1">
      <alignment vertical="top"/>
    </xf>
    <xf numFmtId="165" fontId="27" fillId="0" borderId="10" xfId="2" applyNumberFormat="1" applyFont="1" applyBorder="1" applyAlignment="1">
      <alignment horizontal="center" vertical="center"/>
    </xf>
    <xf numFmtId="169" fontId="26" fillId="0" borderId="25" xfId="5" applyNumberFormat="1" applyFont="1" applyBorder="1" applyAlignment="1">
      <alignment horizontal="center" vertical="center" wrapText="1"/>
    </xf>
    <xf numFmtId="166" fontId="6" fillId="2" borderId="3" xfId="0" applyNumberFormat="1" applyFont="1" applyFill="1" applyBorder="1" applyAlignment="1" applyProtection="1">
      <alignment horizontal="left" vertical="center"/>
      <protection hidden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9" fontId="13" fillId="0" borderId="1" xfId="5" applyNumberFormat="1" applyFont="1" applyFill="1" applyBorder="1" applyAlignment="1">
      <alignment vertical="center"/>
    </xf>
    <xf numFmtId="169" fontId="13" fillId="0" borderId="1" xfId="5" applyNumberFormat="1" applyFont="1" applyFill="1" applyBorder="1" applyAlignment="1">
      <alignment horizontal="center" vertical="center"/>
    </xf>
    <xf numFmtId="169" fontId="12" fillId="0" borderId="0" xfId="5" applyNumberFormat="1" applyFont="1" applyFill="1" applyAlignment="1">
      <alignment vertical="center"/>
    </xf>
    <xf numFmtId="169" fontId="13" fillId="3" borderId="1" xfId="5" applyNumberFormat="1" applyFont="1" applyFill="1" applyBorder="1" applyAlignment="1" applyProtection="1">
      <alignment horizontal="center" vertical="center" wrapText="1"/>
      <protection hidden="1"/>
    </xf>
    <xf numFmtId="3" fontId="33" fillId="2" borderId="0" xfId="1" applyNumberFormat="1" applyFont="1" applyFill="1" applyAlignment="1" applyProtection="1">
      <alignment horizontal="left" vertical="center"/>
      <protection hidden="1"/>
    </xf>
    <xf numFmtId="171" fontId="40" fillId="0" borderId="1" xfId="0" applyNumberFormat="1" applyFont="1" applyBorder="1" applyAlignment="1">
      <alignment vertical="center"/>
    </xf>
    <xf numFmtId="0" fontId="40" fillId="0" borderId="1" xfId="0" applyFont="1" applyBorder="1" applyAlignment="1" applyProtection="1">
      <alignment horizontal="left" vertical="center"/>
      <protection hidden="1"/>
    </xf>
    <xf numFmtId="3" fontId="40" fillId="0" borderId="1" xfId="0" applyNumberFormat="1" applyFont="1" applyBorder="1" applyAlignment="1" applyProtection="1">
      <alignment horizontal="center" vertical="center"/>
      <protection hidden="1"/>
    </xf>
    <xf numFmtId="169" fontId="40" fillId="0" borderId="1" xfId="5" applyNumberFormat="1" applyFont="1" applyBorder="1" applyAlignment="1" applyProtection="1">
      <alignment vertical="center"/>
      <protection hidden="1"/>
    </xf>
    <xf numFmtId="169" fontId="40" fillId="0" borderId="1" xfId="5" applyNumberFormat="1" applyFont="1" applyFill="1" applyBorder="1" applyAlignment="1" applyProtection="1">
      <alignment vertical="center"/>
      <protection hidden="1"/>
    </xf>
    <xf numFmtId="166" fontId="18" fillId="3" borderId="2" xfId="3" applyNumberFormat="1" applyFont="1" applyFill="1" applyBorder="1" applyAlignment="1" applyProtection="1">
      <alignment horizontal="center" vertical="center"/>
      <protection hidden="1"/>
    </xf>
    <xf numFmtId="166" fontId="18" fillId="3" borderId="1" xfId="3" applyNumberFormat="1" applyFont="1" applyFill="1" applyBorder="1" applyAlignment="1" applyProtection="1">
      <alignment horizontal="center" vertical="center"/>
      <protection hidden="1"/>
    </xf>
    <xf numFmtId="169" fontId="18" fillId="3" borderId="1" xfId="5" applyNumberFormat="1" applyFont="1" applyFill="1" applyBorder="1" applyAlignment="1" applyProtection="1">
      <alignment horizontal="center" vertical="center"/>
      <protection hidden="1"/>
    </xf>
    <xf numFmtId="169" fontId="18" fillId="3" borderId="1" xfId="5" applyNumberFormat="1" applyFont="1" applyFill="1" applyBorder="1" applyAlignment="1" applyProtection="1">
      <alignment horizontal="center" vertical="center" wrapText="1"/>
      <protection hidden="1"/>
    </xf>
    <xf numFmtId="165" fontId="40" fillId="3" borderId="1" xfId="2" applyNumberFormat="1" applyFont="1" applyFill="1" applyBorder="1" applyAlignment="1" applyProtection="1">
      <alignment horizontal="center" vertical="center"/>
      <protection hidden="1"/>
    </xf>
    <xf numFmtId="3" fontId="40" fillId="0" borderId="5" xfId="0" applyNumberFormat="1" applyFont="1" applyBorder="1" applyProtection="1">
      <protection hidden="1"/>
    </xf>
    <xf numFmtId="169" fontId="18" fillId="0" borderId="1" xfId="5" applyNumberFormat="1" applyFont="1" applyBorder="1" applyAlignment="1" applyProtection="1">
      <alignment vertical="center"/>
      <protection hidden="1"/>
    </xf>
    <xf numFmtId="166" fontId="18" fillId="2" borderId="1" xfId="0" applyNumberFormat="1" applyFont="1" applyFill="1" applyBorder="1" applyAlignment="1" applyProtection="1">
      <alignment horizontal="center" vertical="center"/>
      <protection hidden="1"/>
    </xf>
    <xf numFmtId="166" fontId="18" fillId="2" borderId="3" xfId="0" applyNumberFormat="1" applyFont="1" applyFill="1" applyBorder="1" applyAlignment="1" applyProtection="1">
      <alignment horizontal="left" vertical="center"/>
      <protection hidden="1"/>
    </xf>
    <xf numFmtId="166" fontId="18" fillId="2" borderId="5" xfId="0" applyNumberFormat="1" applyFont="1" applyFill="1" applyBorder="1" applyAlignment="1" applyProtection="1">
      <alignment horizontal="center" vertical="center"/>
      <protection hidden="1"/>
    </xf>
    <xf numFmtId="169" fontId="19" fillId="0" borderId="0" xfId="5" applyNumberFormat="1" applyFont="1" applyBorder="1" applyAlignment="1" applyProtection="1">
      <protection hidden="1"/>
    </xf>
    <xf numFmtId="3" fontId="21" fillId="0" borderId="0" xfId="1" applyNumberFormat="1" applyFont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horizontal="center" vertical="center" wrapText="1"/>
      <protection hidden="1"/>
    </xf>
    <xf numFmtId="169" fontId="4" fillId="0" borderId="0" xfId="5" applyNumberFormat="1" applyFont="1" applyAlignment="1">
      <alignment horizontal="center" vertical="center" wrapText="1"/>
    </xf>
    <xf numFmtId="169" fontId="17" fillId="0" borderId="0" xfId="5" applyNumberFormat="1" applyFont="1" applyAlignment="1">
      <alignment horizontal="center" vertical="center" wrapText="1"/>
    </xf>
    <xf numFmtId="0" fontId="15" fillId="0" borderId="38" xfId="0" applyFont="1" applyBorder="1"/>
    <xf numFmtId="0" fontId="15" fillId="0" borderId="4" xfId="0" applyFont="1" applyBorder="1"/>
    <xf numFmtId="166" fontId="4" fillId="0" borderId="26" xfId="0" applyNumberFormat="1" applyFont="1" applyBorder="1" applyAlignment="1">
      <alignment horizontal="center"/>
    </xf>
    <xf numFmtId="3" fontId="4" fillId="0" borderId="26" xfId="0" applyNumberFormat="1" applyFont="1" applyBorder="1" applyAlignment="1">
      <alignment horizontal="center" wrapText="1"/>
    </xf>
    <xf numFmtId="166" fontId="4" fillId="0" borderId="32" xfId="0" applyNumberFormat="1" applyFont="1" applyBorder="1" applyAlignment="1">
      <alignment horizontal="center"/>
    </xf>
    <xf numFmtId="3" fontId="4" fillId="0" borderId="32" xfId="0" applyNumberFormat="1" applyFont="1" applyBorder="1" applyAlignment="1">
      <alignment horizontal="center" wrapText="1"/>
    </xf>
    <xf numFmtId="166" fontId="4" fillId="0" borderId="26" xfId="0" quotePrefix="1" applyNumberFormat="1" applyFont="1" applyBorder="1" applyAlignment="1">
      <alignment horizontal="center"/>
    </xf>
    <xf numFmtId="166" fontId="4" fillId="0" borderId="32" xfId="0" quotePrefix="1" applyNumberFormat="1" applyFont="1" applyBorder="1" applyAlignment="1">
      <alignment horizontal="center"/>
    </xf>
    <xf numFmtId="0" fontId="15" fillId="0" borderId="32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9" fontId="12" fillId="0" borderId="1" xfId="5" applyNumberFormat="1" applyFont="1" applyBorder="1" applyAlignment="1">
      <alignment horizontal="center" vertical="center" wrapText="1"/>
    </xf>
    <xf numFmtId="169" fontId="12" fillId="0" borderId="0" xfId="5" applyNumberFormat="1" applyFont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69" fontId="31" fillId="5" borderId="1" xfId="5" applyNumberFormat="1" applyFont="1" applyFill="1" applyBorder="1" applyAlignment="1">
      <alignment horizontal="center" vertical="center" wrapText="1"/>
    </xf>
    <xf numFmtId="169" fontId="4" fillId="3" borderId="1" xfId="5" applyNumberFormat="1" applyFont="1" applyFill="1" applyBorder="1" applyAlignment="1" applyProtection="1">
      <alignment horizontal="center" vertical="center"/>
      <protection hidden="1"/>
    </xf>
    <xf numFmtId="43" fontId="12" fillId="0" borderId="26" xfId="0" applyNumberFormat="1" applyFont="1" applyBorder="1" applyAlignment="1">
      <alignment vertical="center"/>
    </xf>
    <xf numFmtId="169" fontId="6" fillId="6" borderId="1" xfId="5" applyNumberFormat="1" applyFont="1" applyFill="1" applyBorder="1" applyAlignment="1" applyProtection="1">
      <alignment vertical="center" wrapText="1"/>
      <protection hidden="1"/>
    </xf>
    <xf numFmtId="169" fontId="12" fillId="6" borderId="1" xfId="5" applyNumberFormat="1" applyFont="1" applyFill="1" applyBorder="1" applyAlignment="1" applyProtection="1">
      <alignment vertical="center"/>
      <protection hidden="1"/>
    </xf>
    <xf numFmtId="169" fontId="6" fillId="6" borderId="1" xfId="5" applyNumberFormat="1" applyFont="1" applyFill="1" applyBorder="1" applyAlignment="1" applyProtection="1">
      <alignment horizontal="center" vertical="center" wrapText="1"/>
      <protection hidden="1"/>
    </xf>
    <xf numFmtId="0" fontId="44" fillId="0" borderId="1" xfId="0" applyFont="1" applyBorder="1" applyAlignment="1">
      <alignment horizontal="center" vertical="center" wrapText="1"/>
    </xf>
    <xf numFmtId="169" fontId="44" fillId="0" borderId="1" xfId="5" applyNumberFormat="1" applyFont="1" applyBorder="1" applyAlignment="1">
      <alignment horizontal="center" vertical="center" wrapText="1"/>
    </xf>
    <xf numFmtId="166" fontId="4" fillId="0" borderId="30" xfId="0" applyNumberFormat="1" applyFont="1" applyBorder="1" applyAlignment="1">
      <alignment horizontal="center"/>
    </xf>
    <xf numFmtId="166" fontId="4" fillId="0" borderId="30" xfId="0" quotePrefix="1" applyNumberFormat="1" applyFont="1" applyBorder="1" applyAlignment="1">
      <alignment horizontal="center"/>
    </xf>
    <xf numFmtId="3" fontId="4" fillId="0" borderId="30" xfId="0" applyNumberFormat="1" applyFont="1" applyBorder="1" applyAlignment="1">
      <alignment horizontal="center" wrapText="1"/>
    </xf>
    <xf numFmtId="43" fontId="12" fillId="0" borderId="30" xfId="0" applyNumberFormat="1" applyFont="1" applyBorder="1" applyAlignment="1">
      <alignment vertical="center"/>
    </xf>
    <xf numFmtId="0" fontId="45" fillId="0" borderId="32" xfId="0" applyFont="1" applyBorder="1"/>
    <xf numFmtId="166" fontId="4" fillId="0" borderId="42" xfId="0" applyNumberFormat="1" applyFont="1" applyBorder="1" applyAlignment="1">
      <alignment horizontal="center"/>
    </xf>
    <xf numFmtId="166" fontId="4" fillId="0" borderId="42" xfId="0" quotePrefix="1" applyNumberFormat="1" applyFont="1" applyBorder="1" applyAlignment="1">
      <alignment horizontal="center"/>
    </xf>
    <xf numFmtId="3" fontId="4" fillId="0" borderId="41" xfId="0" applyNumberFormat="1" applyFont="1" applyBorder="1" applyAlignment="1">
      <alignment horizontal="center" wrapText="1"/>
    </xf>
    <xf numFmtId="0" fontId="15" fillId="0" borderId="42" xfId="0" applyFont="1" applyBorder="1"/>
    <xf numFmtId="0" fontId="4" fillId="0" borderId="7" xfId="0" applyFont="1" applyBorder="1"/>
    <xf numFmtId="0" fontId="0" fillId="0" borderId="7" xfId="0" applyBorder="1"/>
    <xf numFmtId="169" fontId="12" fillId="0" borderId="1" xfId="5" applyNumberFormat="1" applyFont="1" applyFill="1" applyBorder="1" applyAlignment="1">
      <alignment horizontal="center" vertical="center" wrapText="1"/>
    </xf>
    <xf numFmtId="169" fontId="38" fillId="3" borderId="1" xfId="5" applyNumberFormat="1" applyFont="1" applyFill="1" applyBorder="1" applyAlignment="1">
      <alignment horizontal="center" vertical="center" wrapText="1"/>
    </xf>
    <xf numFmtId="169" fontId="38" fillId="3" borderId="1" xfId="5" applyNumberFormat="1" applyFont="1" applyFill="1" applyBorder="1" applyAlignment="1" applyProtection="1">
      <alignment horizontal="center" vertical="center" wrapText="1"/>
      <protection hidden="1"/>
    </xf>
    <xf numFmtId="169" fontId="38" fillId="0" borderId="0" xfId="5" applyNumberFormat="1" applyFont="1" applyFill="1" applyAlignment="1">
      <alignment vertical="center"/>
    </xf>
    <xf numFmtId="43" fontId="4" fillId="0" borderId="33" xfId="0" applyNumberFormat="1" applyFont="1" applyBorder="1" applyAlignment="1">
      <alignment horizontal="center" vertical="center"/>
    </xf>
    <xf numFmtId="43" fontId="10" fillId="0" borderId="33" xfId="0" applyNumberFormat="1" applyFont="1" applyBorder="1" applyAlignment="1">
      <alignment horizontal="center" vertical="center"/>
    </xf>
    <xf numFmtId="43" fontId="4" fillId="0" borderId="34" xfId="0" applyNumberFormat="1" applyFont="1" applyBorder="1" applyAlignment="1">
      <alignment horizontal="center" vertical="center"/>
    </xf>
    <xf numFmtId="43" fontId="4" fillId="0" borderId="26" xfId="0" applyNumberFormat="1" applyFont="1" applyBorder="1" applyAlignment="1">
      <alignment vertical="center"/>
    </xf>
    <xf numFmtId="43" fontId="4" fillId="0" borderId="35" xfId="0" applyNumberFormat="1" applyFont="1" applyBorder="1" applyAlignment="1">
      <alignment horizontal="center" vertical="center"/>
    </xf>
    <xf numFmtId="43" fontId="4" fillId="0" borderId="36" xfId="0" applyNumberFormat="1" applyFont="1" applyBorder="1" applyAlignment="1">
      <alignment horizontal="center" vertical="center"/>
    </xf>
    <xf numFmtId="43" fontId="48" fillId="0" borderId="36" xfId="0" applyNumberFormat="1" applyFont="1" applyBorder="1" applyAlignment="1">
      <alignment horizontal="center" vertical="center"/>
    </xf>
    <xf numFmtId="43" fontId="4" fillId="0" borderId="37" xfId="0" applyNumberFormat="1" applyFont="1" applyBorder="1" applyAlignment="1">
      <alignment horizontal="center" vertical="center"/>
    </xf>
    <xf numFmtId="0" fontId="49" fillId="0" borderId="32" xfId="0" applyFont="1" applyBorder="1"/>
    <xf numFmtId="43" fontId="6" fillId="0" borderId="36" xfId="0" applyNumberFormat="1" applyFont="1" applyBorder="1" applyAlignment="1">
      <alignment horizontal="center" vertical="center"/>
    </xf>
    <xf numFmtId="0" fontId="50" fillId="0" borderId="32" xfId="0" applyFont="1" applyBorder="1"/>
    <xf numFmtId="43" fontId="4" fillId="0" borderId="30" xfId="0" applyNumberFormat="1" applyFont="1" applyBorder="1" applyAlignment="1">
      <alignment vertical="center"/>
    </xf>
    <xf numFmtId="43" fontId="4" fillId="0" borderId="39" xfId="0" applyNumberFormat="1" applyFont="1" applyBorder="1" applyAlignment="1">
      <alignment horizontal="center" vertical="center"/>
    </xf>
    <xf numFmtId="43" fontId="4" fillId="0" borderId="40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 applyProtection="1">
      <alignment horizontal="center" vertical="center"/>
      <protection hidden="1"/>
    </xf>
    <xf numFmtId="166" fontId="4" fillId="2" borderId="1" xfId="0" applyNumberFormat="1" applyFont="1" applyFill="1" applyBorder="1" applyAlignment="1" applyProtection="1">
      <alignment horizontal="left" vertical="center"/>
      <protection hidden="1"/>
    </xf>
    <xf numFmtId="169" fontId="4" fillId="2" borderId="1" xfId="5" applyNumberFormat="1" applyFont="1" applyFill="1" applyBorder="1" applyAlignment="1" applyProtection="1">
      <alignment horizontal="left" vertical="center"/>
      <protection hidden="1"/>
    </xf>
    <xf numFmtId="43" fontId="12" fillId="2" borderId="1" xfId="5" applyFont="1" applyFill="1" applyBorder="1" applyAlignment="1" applyProtection="1">
      <alignment vertical="center"/>
      <protection hidden="1"/>
    </xf>
    <xf numFmtId="169" fontId="12" fillId="2" borderId="1" xfId="5" applyNumberFormat="1" applyFont="1" applyFill="1" applyBorder="1" applyAlignment="1" applyProtection="1">
      <alignment vertical="center"/>
      <protection hidden="1"/>
    </xf>
    <xf numFmtId="0" fontId="4" fillId="2" borderId="0" xfId="0" applyFont="1" applyFill="1"/>
    <xf numFmtId="3" fontId="4" fillId="2" borderId="1" xfId="0" applyNumberFormat="1" applyFont="1" applyFill="1" applyBorder="1" applyAlignment="1" applyProtection="1">
      <alignment horizontal="center" wrapText="1"/>
      <protection hidden="1"/>
    </xf>
    <xf numFmtId="3" fontId="4" fillId="2" borderId="1" xfId="0" applyNumberFormat="1" applyFont="1" applyFill="1" applyBorder="1" applyAlignment="1" applyProtection="1">
      <alignment horizontal="center" vertical="center"/>
      <protection hidden="1"/>
    </xf>
    <xf numFmtId="3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>
      <alignment vertical="center"/>
    </xf>
    <xf numFmtId="166" fontId="10" fillId="2" borderId="5" xfId="0" quotePrefix="1" applyNumberFormat="1" applyFont="1" applyFill="1" applyBorder="1" applyAlignment="1" applyProtection="1">
      <alignment horizontal="center" vertical="center"/>
      <protection hidden="1"/>
    </xf>
    <xf numFmtId="169" fontId="10" fillId="2" borderId="1" xfId="5" applyNumberFormat="1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Alignment="1">
      <alignment vertical="center"/>
    </xf>
    <xf numFmtId="166" fontId="18" fillId="2" borderId="43" xfId="0" applyNumberFormat="1" applyFont="1" applyFill="1" applyBorder="1" applyAlignment="1">
      <alignment horizontal="center" vertical="center"/>
    </xf>
    <xf numFmtId="166" fontId="52" fillId="2" borderId="44" xfId="0" applyNumberFormat="1" applyFont="1" applyFill="1" applyBorder="1" applyAlignment="1">
      <alignment horizontal="center" vertical="center"/>
    </xf>
    <xf numFmtId="0" fontId="52" fillId="2" borderId="45" xfId="0" applyFont="1" applyFill="1" applyBorder="1" applyAlignment="1">
      <alignment horizontal="left" vertical="center"/>
    </xf>
    <xf numFmtId="169" fontId="18" fillId="0" borderId="1" xfId="5" applyNumberFormat="1" applyFont="1" applyFill="1" applyBorder="1" applyAlignment="1">
      <alignment horizontal="center" vertical="center"/>
    </xf>
    <xf numFmtId="169" fontId="40" fillId="0" borderId="0" xfId="5" applyNumberFormat="1" applyFont="1" applyFill="1" applyAlignment="1">
      <alignment vertical="center"/>
    </xf>
    <xf numFmtId="169" fontId="40" fillId="0" borderId="1" xfId="5" applyNumberFormat="1" applyFont="1" applyBorder="1" applyAlignment="1">
      <alignment vertical="center"/>
    </xf>
    <xf numFmtId="169" fontId="53" fillId="0" borderId="1" xfId="5" applyNumberFormat="1" applyFont="1" applyBorder="1" applyAlignment="1">
      <alignment horizontal="center" vertical="center"/>
    </xf>
    <xf numFmtId="169" fontId="53" fillId="0" borderId="1" xfId="5" applyNumberFormat="1" applyFont="1" applyBorder="1" applyAlignment="1">
      <alignment horizontal="left" vertical="center"/>
    </xf>
    <xf numFmtId="169" fontId="53" fillId="0" borderId="1" xfId="5" applyNumberFormat="1" applyFont="1" applyBorder="1" applyAlignment="1">
      <alignment horizontal="center" vertical="center" wrapText="1"/>
    </xf>
    <xf numFmtId="169" fontId="40" fillId="0" borderId="0" xfId="5" applyNumberFormat="1" applyFont="1"/>
    <xf numFmtId="166" fontId="18" fillId="2" borderId="46" xfId="0" applyNumberFormat="1" applyFont="1" applyFill="1" applyBorder="1" applyAlignment="1">
      <alignment horizontal="center" vertical="center"/>
    </xf>
    <xf numFmtId="166" fontId="52" fillId="2" borderId="47" xfId="0" applyNumberFormat="1" applyFont="1" applyFill="1" applyBorder="1" applyAlignment="1">
      <alignment horizontal="center" vertical="center"/>
    </xf>
    <xf numFmtId="0" fontId="52" fillId="2" borderId="48" xfId="0" applyFont="1" applyFill="1" applyBorder="1" applyAlignment="1">
      <alignment horizontal="left" vertical="center"/>
    </xf>
    <xf numFmtId="169" fontId="52" fillId="0" borderId="1" xfId="5" applyNumberFormat="1" applyFont="1" applyBorder="1" applyAlignment="1">
      <alignment horizontal="center" vertical="center" wrapText="1"/>
    </xf>
    <xf numFmtId="169" fontId="18" fillId="0" borderId="0" xfId="5" applyNumberFormat="1" applyFont="1"/>
    <xf numFmtId="169" fontId="18" fillId="0" borderId="1" xfId="5" applyNumberFormat="1" applyFont="1" applyBorder="1" applyAlignment="1">
      <alignment horizontal="center" vertical="center"/>
    </xf>
    <xf numFmtId="169" fontId="18" fillId="0" borderId="0" xfId="5" applyNumberFormat="1" applyFont="1" applyAlignment="1">
      <alignment horizontal="center"/>
    </xf>
    <xf numFmtId="169" fontId="51" fillId="0" borderId="0" xfId="5" applyNumberFormat="1" applyFont="1" applyAlignment="1"/>
    <xf numFmtId="169" fontId="17" fillId="0" borderId="0" xfId="5" applyNumberFormat="1" applyFont="1" applyAlignment="1">
      <alignment vertical="center"/>
    </xf>
    <xf numFmtId="43" fontId="17" fillId="0" borderId="0" xfId="5" applyFont="1" applyAlignment="1">
      <alignment vertical="center"/>
    </xf>
    <xf numFmtId="169" fontId="54" fillId="0" borderId="0" xfId="5" applyNumberFormat="1" applyFont="1" applyAlignment="1"/>
    <xf numFmtId="169" fontId="54" fillId="0" borderId="0" xfId="5" applyNumberFormat="1" applyFont="1"/>
    <xf numFmtId="169" fontId="54" fillId="0" borderId="0" xfId="5" applyNumberFormat="1" applyFont="1" applyAlignment="1">
      <alignment horizontal="left" vertical="center" wrapText="1"/>
    </xf>
    <xf numFmtId="169" fontId="54" fillId="0" borderId="0" xfId="5" applyNumberFormat="1" applyFont="1" applyAlignment="1">
      <alignment vertical="center"/>
    </xf>
    <xf numFmtId="43" fontId="54" fillId="0" borderId="0" xfId="5" applyFont="1"/>
    <xf numFmtId="169" fontId="0" fillId="0" borderId="0" xfId="5" applyNumberFormat="1" applyFont="1"/>
    <xf numFmtId="166" fontId="10" fillId="2" borderId="1" xfId="0" applyNumberFormat="1" applyFont="1" applyFill="1" applyBorder="1" applyAlignment="1" applyProtection="1">
      <alignment horizontal="left" vertical="center"/>
      <protection hidden="1"/>
    </xf>
    <xf numFmtId="166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0" fontId="26" fillId="2" borderId="1" xfId="0" applyFont="1" applyFill="1" applyBorder="1" applyAlignment="1">
      <alignment horizontal="center" vertical="center" wrapText="1"/>
    </xf>
    <xf numFmtId="166" fontId="10" fillId="2" borderId="6" xfId="0" quotePrefix="1" applyNumberFormat="1" applyFont="1" applyFill="1" applyBorder="1" applyAlignment="1" applyProtection="1">
      <alignment horizontal="center" vertical="center"/>
      <protection hidden="1"/>
    </xf>
    <xf numFmtId="166" fontId="10" fillId="2" borderId="2" xfId="0" quotePrefix="1" applyNumberFormat="1" applyFont="1" applyFill="1" applyBorder="1" applyAlignment="1" applyProtection="1">
      <alignment horizontal="center" vertical="center"/>
      <protection hidden="1"/>
    </xf>
    <xf numFmtId="0" fontId="46" fillId="7" borderId="1" xfId="0" applyFont="1" applyFill="1" applyBorder="1" applyAlignment="1">
      <alignment horizontal="center" vertical="center"/>
    </xf>
    <xf numFmtId="0" fontId="47" fillId="7" borderId="1" xfId="0" applyFont="1" applyFill="1" applyBorder="1" applyAlignment="1">
      <alignment horizontal="center" vertical="center" wrapText="1"/>
    </xf>
    <xf numFmtId="49" fontId="47" fillId="7" borderId="1" xfId="0" applyNumberFormat="1" applyFont="1" applyFill="1" applyBorder="1" applyAlignment="1">
      <alignment horizontal="center" vertical="center"/>
    </xf>
    <xf numFmtId="0" fontId="55" fillId="0" borderId="0" xfId="0" applyFont="1"/>
    <xf numFmtId="169" fontId="55" fillId="0" borderId="0" xfId="5" applyNumberFormat="1" applyFont="1"/>
    <xf numFmtId="0" fontId="51" fillId="0" borderId="0" xfId="0" applyFont="1"/>
    <xf numFmtId="169" fontId="51" fillId="0" borderId="0" xfId="5" applyNumberFormat="1" applyFont="1"/>
    <xf numFmtId="169" fontId="56" fillId="0" borderId="1" xfId="5" applyNumberFormat="1" applyFont="1" applyBorder="1"/>
    <xf numFmtId="0" fontId="33" fillId="0" borderId="0" xfId="0" applyFont="1" applyAlignment="1">
      <alignment horizontal="center" vertical="center"/>
    </xf>
    <xf numFmtId="169" fontId="51" fillId="0" borderId="0" xfId="5" applyNumberFormat="1" applyFont="1" applyAlignment="1">
      <alignment horizontal="left" vertical="center" wrapText="1"/>
    </xf>
    <xf numFmtId="169" fontId="51" fillId="0" borderId="0" xfId="5" applyNumberFormat="1" applyFont="1" applyAlignment="1">
      <alignment horizontal="center" vertical="center" wrapText="1"/>
    </xf>
    <xf numFmtId="43" fontId="51" fillId="0" borderId="0" xfId="5" applyFont="1"/>
    <xf numFmtId="0" fontId="58" fillId="0" borderId="0" xfId="0" applyFont="1"/>
    <xf numFmtId="0" fontId="59" fillId="0" borderId="1" xfId="0" applyFont="1" applyBorder="1" applyAlignment="1">
      <alignment horizontal="center" vertical="center"/>
    </xf>
    <xf numFmtId="0" fontId="59" fillId="7" borderId="1" xfId="0" applyFont="1" applyFill="1" applyBorder="1" applyAlignment="1">
      <alignment horizontal="left" vertical="center" wrapText="1"/>
    </xf>
    <xf numFmtId="1" fontId="60" fillId="0" borderId="1" xfId="0" applyNumberFormat="1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6" fillId="0" borderId="0" xfId="0" applyFont="1"/>
    <xf numFmtId="2" fontId="60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left" vertical="center"/>
    </xf>
    <xf numFmtId="2" fontId="59" fillId="0" borderId="1" xfId="0" applyNumberFormat="1" applyFont="1" applyBorder="1" applyAlignment="1">
      <alignment horizontal="center" vertical="center"/>
    </xf>
    <xf numFmtId="1" fontId="60" fillId="7" borderId="1" xfId="0" applyNumberFormat="1" applyFont="1" applyFill="1" applyBorder="1" applyAlignment="1">
      <alignment horizontal="center" vertical="center" wrapText="1"/>
    </xf>
    <xf numFmtId="2" fontId="60" fillId="7" borderId="1" xfId="0" applyNumberFormat="1" applyFont="1" applyFill="1" applyBorder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center"/>
    </xf>
    <xf numFmtId="2" fontId="60" fillId="7" borderId="1" xfId="0" quotePrefix="1" applyNumberFormat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2" fontId="60" fillId="0" borderId="1" xfId="0" quotePrefix="1" applyNumberFormat="1" applyFont="1" applyBorder="1" applyAlignment="1">
      <alignment horizontal="center" vertical="center" wrapText="1"/>
    </xf>
    <xf numFmtId="2" fontId="60" fillId="0" borderId="1" xfId="0" quotePrefix="1" applyNumberFormat="1" applyFont="1" applyBorder="1" applyAlignment="1">
      <alignment horizontal="center" vertical="center"/>
    </xf>
    <xf numFmtId="0" fontId="59" fillId="7" borderId="1" xfId="0" applyFont="1" applyFill="1" applyBorder="1" applyAlignment="1">
      <alignment horizontal="left" vertical="center"/>
    </xf>
    <xf numFmtId="1" fontId="59" fillId="0" borderId="1" xfId="0" quotePrefix="1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9" fontId="26" fillId="0" borderId="1" xfId="5" applyNumberFormat="1" applyFont="1" applyBorder="1" applyAlignment="1">
      <alignment horizontal="center" vertical="center" wrapText="1"/>
    </xf>
    <xf numFmtId="0" fontId="26" fillId="0" borderId="0" xfId="0" applyFont="1"/>
    <xf numFmtId="43" fontId="4" fillId="2" borderId="35" xfId="0" applyNumberFormat="1" applyFont="1" applyFill="1" applyBorder="1" applyAlignment="1">
      <alignment horizontal="center" vertical="center"/>
    </xf>
    <xf numFmtId="43" fontId="4" fillId="2" borderId="36" xfId="0" applyNumberFormat="1" applyFont="1" applyFill="1" applyBorder="1" applyAlignment="1">
      <alignment horizontal="center" vertical="center"/>
    </xf>
    <xf numFmtId="43" fontId="4" fillId="2" borderId="39" xfId="0" applyNumberFormat="1" applyFont="1" applyFill="1" applyBorder="1" applyAlignment="1">
      <alignment horizontal="center" vertical="center"/>
    </xf>
    <xf numFmtId="43" fontId="48" fillId="2" borderId="36" xfId="0" applyNumberFormat="1" applyFont="1" applyFill="1" applyBorder="1" applyAlignment="1">
      <alignment horizontal="center" vertical="center"/>
    </xf>
    <xf numFmtId="166" fontId="10" fillId="0" borderId="26" xfId="0" applyNumberFormat="1" applyFont="1" applyBorder="1" applyAlignment="1">
      <alignment horizontal="center"/>
    </xf>
    <xf numFmtId="166" fontId="10" fillId="0" borderId="32" xfId="0" applyNumberFormat="1" applyFont="1" applyBorder="1" applyAlignment="1">
      <alignment horizontal="center"/>
    </xf>
    <xf numFmtId="3" fontId="10" fillId="0" borderId="26" xfId="0" applyNumberFormat="1" applyFont="1" applyBorder="1" applyAlignment="1">
      <alignment horizontal="center" wrapText="1"/>
    </xf>
    <xf numFmtId="166" fontId="10" fillId="0" borderId="42" xfId="0" applyNumberFormat="1" applyFont="1" applyBorder="1" applyAlignment="1">
      <alignment horizontal="center"/>
    </xf>
    <xf numFmtId="166" fontId="10" fillId="0" borderId="30" xfId="0" applyNumberFormat="1" applyFont="1" applyBorder="1" applyAlignment="1">
      <alignment horizontal="center"/>
    </xf>
    <xf numFmtId="166" fontId="10" fillId="0" borderId="1" xfId="0" applyNumberFormat="1" applyFont="1" applyBorder="1" applyAlignment="1" applyProtection="1">
      <alignment horizontal="left" vertical="center"/>
      <protection hidden="1"/>
    </xf>
    <xf numFmtId="169" fontId="12" fillId="0" borderId="1" xfId="5" applyNumberFormat="1" applyFont="1" applyFill="1" applyBorder="1" applyAlignment="1" applyProtection="1">
      <alignment vertical="center"/>
      <protection hidden="1"/>
    </xf>
    <xf numFmtId="169" fontId="4" fillId="0" borderId="0" xfId="5" applyNumberFormat="1" applyFont="1" applyFill="1" applyBorder="1"/>
    <xf numFmtId="169" fontId="6" fillId="5" borderId="1" xfId="5" applyNumberFormat="1" applyFont="1" applyFill="1" applyBorder="1" applyAlignment="1" applyProtection="1">
      <alignment horizontal="center" vertical="center" wrapText="1"/>
      <protection hidden="1"/>
    </xf>
    <xf numFmtId="165" fontId="4" fillId="5" borderId="1" xfId="2" applyNumberFormat="1" applyFont="1" applyFill="1" applyBorder="1" applyAlignment="1" applyProtection="1">
      <alignment horizontal="center" vertical="center"/>
      <protection hidden="1"/>
    </xf>
    <xf numFmtId="169" fontId="26" fillId="0" borderId="1" xfId="5" applyNumberFormat="1" applyFont="1" applyFill="1" applyBorder="1" applyAlignment="1" applyProtection="1">
      <alignment vertical="center"/>
      <protection hidden="1"/>
    </xf>
    <xf numFmtId="43" fontId="19" fillId="0" borderId="0" xfId="5" applyFont="1" applyBorder="1" applyAlignment="1" applyProtection="1">
      <protection hidden="1"/>
    </xf>
    <xf numFmtId="43" fontId="13" fillId="0" borderId="1" xfId="5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43" fontId="53" fillId="0" borderId="1" xfId="5" applyFont="1" applyBorder="1" applyAlignment="1">
      <alignment horizontal="center" vertical="center" wrapText="1"/>
    </xf>
    <xf numFmtId="43" fontId="54" fillId="0" borderId="0" xfId="5" applyFont="1" applyAlignment="1">
      <alignment vertical="center"/>
    </xf>
    <xf numFmtId="169" fontId="12" fillId="2" borderId="1" xfId="5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169" fontId="61" fillId="0" borderId="1" xfId="5" applyNumberFormat="1" applyFont="1" applyBorder="1" applyAlignment="1">
      <alignment horizontal="center" vertical="center" wrapText="1"/>
    </xf>
    <xf numFmtId="3" fontId="40" fillId="2" borderId="0" xfId="1" applyNumberFormat="1" applyFont="1" applyFill="1" applyAlignment="1" applyProtection="1">
      <alignment horizontal="left" vertical="center"/>
      <protection hidden="1"/>
    </xf>
    <xf numFmtId="0" fontId="6" fillId="0" borderId="0" xfId="0" applyFont="1" applyAlignment="1">
      <alignment horizontal="center"/>
    </xf>
    <xf numFmtId="43" fontId="63" fillId="0" borderId="33" xfId="0" applyNumberFormat="1" applyFont="1" applyBorder="1" applyAlignment="1">
      <alignment horizontal="center" vertical="center"/>
    </xf>
    <xf numFmtId="43" fontId="12" fillId="0" borderId="32" xfId="0" applyNumberFormat="1" applyFont="1" applyBorder="1" applyAlignment="1">
      <alignment vertical="center"/>
    </xf>
    <xf numFmtId="43" fontId="63" fillId="2" borderId="39" xfId="0" applyNumberFormat="1" applyFont="1" applyFill="1" applyBorder="1" applyAlignment="1">
      <alignment horizontal="center" vertical="center"/>
    </xf>
    <xf numFmtId="43" fontId="12" fillId="0" borderId="1" xfId="5" applyFont="1" applyFill="1" applyBorder="1" applyAlignment="1" applyProtection="1">
      <alignment vertical="center"/>
      <protection hidden="1"/>
    </xf>
    <xf numFmtId="43" fontId="13" fillId="0" borderId="1" xfId="5" applyFont="1" applyBorder="1" applyAlignment="1" applyProtection="1">
      <alignment vertical="center"/>
      <protection hidden="1"/>
    </xf>
    <xf numFmtId="168" fontId="18" fillId="0" borderId="1" xfId="5" applyNumberFormat="1" applyFont="1" applyBorder="1" applyAlignment="1">
      <alignment horizontal="center" vertical="center"/>
    </xf>
    <xf numFmtId="169" fontId="12" fillId="2" borderId="1" xfId="5" applyNumberFormat="1" applyFont="1" applyFill="1" applyBorder="1" applyProtection="1">
      <protection hidden="1"/>
    </xf>
    <xf numFmtId="166" fontId="4" fillId="0" borderId="1" xfId="0" applyNumberFormat="1" applyFont="1" applyBorder="1" applyAlignment="1" applyProtection="1">
      <alignment horizontal="center" vertical="center"/>
      <protection hidden="1"/>
    </xf>
    <xf numFmtId="166" fontId="10" fillId="0" borderId="5" xfId="0" quotePrefix="1" applyNumberFormat="1" applyFont="1" applyBorder="1" applyAlignment="1" applyProtection="1">
      <alignment horizontal="center" vertical="center"/>
      <protection hidden="1"/>
    </xf>
    <xf numFmtId="3" fontId="10" fillId="0" borderId="1" xfId="0" applyNumberFormat="1" applyFont="1" applyBorder="1" applyAlignment="1" applyProtection="1">
      <alignment horizontal="center" vertical="center" wrapText="1"/>
      <protection hidden="1"/>
    </xf>
    <xf numFmtId="3" fontId="10" fillId="0" borderId="1" xfId="0" applyNumberFormat="1" applyFont="1" applyBorder="1" applyAlignment="1" applyProtection="1">
      <alignment horizontal="center" vertical="center"/>
      <protection hidden="1"/>
    </xf>
    <xf numFmtId="169" fontId="4" fillId="0" borderId="1" xfId="5" applyNumberFormat="1" applyFont="1" applyFill="1" applyBorder="1" applyAlignment="1" applyProtection="1">
      <alignment horizontal="left" vertical="center"/>
      <protection hidden="1"/>
    </xf>
    <xf numFmtId="169" fontId="10" fillId="0" borderId="1" xfId="5" applyNumberFormat="1" applyFont="1" applyFill="1" applyBorder="1" applyAlignment="1" applyProtection="1">
      <alignment horizontal="left" vertical="center"/>
      <protection hidden="1"/>
    </xf>
    <xf numFmtId="169" fontId="12" fillId="0" borderId="1" xfId="5" applyNumberFormat="1" applyFont="1" applyFill="1" applyBorder="1" applyProtection="1">
      <protection hidden="1"/>
    </xf>
    <xf numFmtId="0" fontId="10" fillId="0" borderId="0" xfId="0" applyFont="1" applyAlignment="1">
      <alignment vertical="center"/>
    </xf>
    <xf numFmtId="166" fontId="4" fillId="0" borderId="3" xfId="0" applyNumberFormat="1" applyFont="1" applyBorder="1" applyAlignment="1" applyProtection="1">
      <alignment horizontal="center" vertical="center"/>
      <protection hidden="1"/>
    </xf>
    <xf numFmtId="166" fontId="10" fillId="0" borderId="5" xfId="0" applyNumberFormat="1" applyFont="1" applyBorder="1" applyAlignment="1" applyProtection="1">
      <alignment horizontal="left" vertical="center"/>
      <protection hidden="1"/>
    </xf>
    <xf numFmtId="166" fontId="4" fillId="0" borderId="5" xfId="0" applyNumberFormat="1" applyFont="1" applyBorder="1" applyAlignment="1" applyProtection="1">
      <alignment horizontal="center" vertical="center"/>
      <protection hidden="1"/>
    </xf>
    <xf numFmtId="3" fontId="10" fillId="0" borderId="4" xfId="0" applyNumberFormat="1" applyFont="1" applyBorder="1" applyAlignment="1" applyProtection="1">
      <alignment horizontal="center" vertical="center" wrapText="1"/>
      <protection hidden="1"/>
    </xf>
    <xf numFmtId="43" fontId="4" fillId="2" borderId="49" xfId="0" applyNumberFormat="1" applyFont="1" applyFill="1" applyBorder="1" applyAlignment="1">
      <alignment horizontal="center" vertical="center"/>
    </xf>
    <xf numFmtId="43" fontId="4" fillId="0" borderId="50" xfId="0" applyNumberFormat="1" applyFont="1" applyBorder="1" applyAlignment="1">
      <alignment horizontal="center" vertical="center"/>
    </xf>
    <xf numFmtId="43" fontId="10" fillId="0" borderId="50" xfId="0" applyNumberFormat="1" applyFont="1" applyBorder="1" applyAlignment="1">
      <alignment horizontal="center" vertical="center"/>
    </xf>
    <xf numFmtId="43" fontId="4" fillId="2" borderId="50" xfId="0" applyNumberFormat="1" applyFont="1" applyFill="1" applyBorder="1" applyAlignment="1">
      <alignment horizontal="center" vertical="center"/>
    </xf>
    <xf numFmtId="43" fontId="4" fillId="0" borderId="5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 applyProtection="1">
      <alignment horizontal="center" vertical="center" wrapText="1"/>
      <protection hidden="1"/>
    </xf>
    <xf numFmtId="166" fontId="10" fillId="8" borderId="5" xfId="0" quotePrefix="1" applyNumberFormat="1" applyFont="1" applyFill="1" applyBorder="1" applyAlignment="1" applyProtection="1">
      <alignment horizontal="center" vertical="center"/>
      <protection hidden="1"/>
    </xf>
    <xf numFmtId="166" fontId="10" fillId="8" borderId="1" xfId="0" applyNumberFormat="1" applyFont="1" applyFill="1" applyBorder="1" applyAlignment="1" applyProtection="1">
      <alignment horizontal="left" vertical="center"/>
      <protection hidden="1"/>
    </xf>
    <xf numFmtId="166" fontId="10" fillId="8" borderId="5" xfId="0" applyNumberFormat="1" applyFont="1" applyFill="1" applyBorder="1" applyAlignment="1" applyProtection="1">
      <alignment horizontal="left" vertical="center"/>
      <protection hidden="1"/>
    </xf>
    <xf numFmtId="43" fontId="63" fillId="0" borderId="39" xfId="0" applyNumberFormat="1" applyFont="1" applyBorder="1" applyAlignment="1">
      <alignment horizontal="center" vertical="center"/>
    </xf>
    <xf numFmtId="2" fontId="62" fillId="9" borderId="3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49" fillId="0" borderId="53" xfId="0" applyFont="1" applyBorder="1"/>
    <xf numFmtId="43" fontId="63" fillId="0" borderId="36" xfId="0" applyNumberFormat="1" applyFont="1" applyBorder="1" applyAlignment="1">
      <alignment horizontal="center" vertical="center"/>
    </xf>
    <xf numFmtId="166" fontId="63" fillId="0" borderId="1" xfId="0" applyNumberFormat="1" applyFont="1" applyBorder="1" applyAlignment="1" applyProtection="1">
      <alignment horizontal="left" vertical="center"/>
      <protection hidden="1"/>
    </xf>
    <xf numFmtId="169" fontId="53" fillId="0" borderId="0" xfId="5" applyNumberFormat="1" applyFont="1" applyBorder="1" applyAlignment="1">
      <alignment horizontal="center" vertical="center"/>
    </xf>
    <xf numFmtId="169" fontId="6" fillId="0" borderId="0" xfId="5" applyNumberFormat="1" applyFont="1"/>
    <xf numFmtId="169" fontId="4" fillId="2" borderId="0" xfId="0" applyNumberFormat="1" applyFont="1" applyFill="1" applyAlignment="1">
      <alignment vertical="center"/>
    </xf>
    <xf numFmtId="169" fontId="4" fillId="2" borderId="0" xfId="0" applyNumberFormat="1" applyFont="1" applyFill="1"/>
    <xf numFmtId="169" fontId="10" fillId="2" borderId="0" xfId="0" applyNumberFormat="1" applyFont="1" applyFill="1" applyAlignment="1">
      <alignment vertical="center"/>
    </xf>
    <xf numFmtId="169" fontId="4" fillId="2" borderId="0" xfId="5" applyNumberFormat="1" applyFont="1" applyFill="1" applyAlignment="1">
      <alignment vertical="center"/>
    </xf>
    <xf numFmtId="169" fontId="10" fillId="2" borderId="0" xfId="5" applyNumberFormat="1" applyFont="1" applyFill="1" applyAlignment="1">
      <alignment vertical="center"/>
    </xf>
    <xf numFmtId="43" fontId="0" fillId="0" borderId="0" xfId="0" applyNumberFormat="1"/>
    <xf numFmtId="43" fontId="63" fillId="0" borderId="54" xfId="0" applyNumberFormat="1" applyFont="1" applyBorder="1" applyAlignment="1">
      <alignment horizontal="center" vertical="center"/>
    </xf>
    <xf numFmtId="43" fontId="10" fillId="0" borderId="54" xfId="0" applyNumberFormat="1" applyFont="1" applyBorder="1" applyAlignment="1">
      <alignment horizontal="center" vertical="center"/>
    </xf>
    <xf numFmtId="43" fontId="4" fillId="0" borderId="55" xfId="0" applyNumberFormat="1" applyFont="1" applyBorder="1" applyAlignment="1">
      <alignment horizontal="center" vertical="center"/>
    </xf>
    <xf numFmtId="2" fontId="62" fillId="9" borderId="55" xfId="0" applyNumberFormat="1" applyFont="1" applyFill="1" applyBorder="1" applyAlignment="1">
      <alignment horizontal="center" vertical="center"/>
    </xf>
    <xf numFmtId="43" fontId="62" fillId="0" borderId="36" xfId="0" applyNumberFormat="1" applyFont="1" applyBorder="1" applyAlignment="1">
      <alignment horizontal="center" vertical="center"/>
    </xf>
    <xf numFmtId="43" fontId="62" fillId="0" borderId="33" xfId="0" applyNumberFormat="1" applyFont="1" applyBorder="1" applyAlignment="1">
      <alignment horizontal="center" vertical="center"/>
    </xf>
    <xf numFmtId="169" fontId="64" fillId="0" borderId="1" xfId="5" applyNumberFormat="1" applyFont="1" applyBorder="1" applyAlignment="1" applyProtection="1">
      <alignment vertical="center"/>
      <protection hidden="1"/>
    </xf>
    <xf numFmtId="169" fontId="64" fillId="0" borderId="1" xfId="5" applyNumberFormat="1" applyFont="1" applyFill="1" applyBorder="1" applyAlignment="1" applyProtection="1">
      <alignment vertical="center"/>
      <protection hidden="1"/>
    </xf>
    <xf numFmtId="166" fontId="6" fillId="3" borderId="2" xfId="3" applyNumberFormat="1" applyFont="1" applyFill="1" applyBorder="1" applyAlignment="1" applyProtection="1">
      <alignment horizontal="center" vertical="center"/>
      <protection hidden="1"/>
    </xf>
    <xf numFmtId="166" fontId="6" fillId="3" borderId="6" xfId="3" applyNumberFormat="1" applyFont="1" applyFill="1" applyBorder="1" applyAlignment="1" applyProtection="1">
      <alignment horizontal="center" vertical="center"/>
      <protection hidden="1"/>
    </xf>
    <xf numFmtId="169" fontId="6" fillId="3" borderId="2" xfId="5" applyNumberFormat="1" applyFont="1" applyFill="1" applyBorder="1" applyAlignment="1" applyProtection="1">
      <alignment horizontal="center" vertical="center" wrapText="1"/>
      <protection hidden="1"/>
    </xf>
    <xf numFmtId="169" fontId="6" fillId="3" borderId="6" xfId="5" applyNumberFormat="1" applyFont="1" applyFill="1" applyBorder="1" applyAlignment="1" applyProtection="1">
      <alignment horizontal="center" vertical="center" wrapText="1"/>
      <protection hidden="1"/>
    </xf>
    <xf numFmtId="169" fontId="6" fillId="3" borderId="2" xfId="5" applyNumberFormat="1" applyFont="1" applyFill="1" applyBorder="1" applyAlignment="1">
      <alignment horizontal="center" vertical="center" wrapText="1"/>
    </xf>
    <xf numFmtId="169" fontId="6" fillId="3" borderId="6" xfId="5" applyNumberFormat="1" applyFont="1" applyFill="1" applyBorder="1" applyAlignment="1">
      <alignment horizontal="center" vertical="center" wrapText="1"/>
    </xf>
    <xf numFmtId="169" fontId="6" fillId="3" borderId="3" xfId="5" applyNumberFormat="1" applyFont="1" applyFill="1" applyBorder="1" applyAlignment="1" applyProtection="1">
      <alignment horizontal="center" vertical="center" wrapText="1"/>
      <protection hidden="1"/>
    </xf>
    <xf numFmtId="169" fontId="6" fillId="3" borderId="4" xfId="5" applyNumberFormat="1" applyFont="1" applyFill="1" applyBorder="1" applyAlignment="1" applyProtection="1">
      <alignment horizontal="center" vertical="center" wrapText="1"/>
      <protection hidden="1"/>
    </xf>
    <xf numFmtId="43" fontId="6" fillId="3" borderId="2" xfId="5" applyFont="1" applyFill="1" applyBorder="1" applyAlignment="1" applyProtection="1">
      <alignment horizontal="center" vertical="center" wrapText="1"/>
      <protection hidden="1"/>
    </xf>
    <xf numFmtId="43" fontId="6" fillId="3" borderId="6" xfId="5" applyFont="1" applyFill="1" applyBorder="1" applyAlignment="1" applyProtection="1">
      <alignment horizontal="center" vertical="center" wrapText="1"/>
      <protection hidden="1"/>
    </xf>
    <xf numFmtId="169" fontId="6" fillId="3" borderId="5" xfId="5" applyNumberFormat="1" applyFont="1" applyFill="1" applyBorder="1" applyAlignment="1" applyProtection="1">
      <alignment horizontal="center" vertical="center"/>
      <protection hidden="1"/>
    </xf>
    <xf numFmtId="169" fontId="6" fillId="3" borderId="4" xfId="5" applyNumberFormat="1" applyFont="1" applyFill="1" applyBorder="1" applyAlignment="1" applyProtection="1">
      <alignment horizontal="center" vertical="center"/>
      <protection hidden="1"/>
    </xf>
    <xf numFmtId="169" fontId="6" fillId="5" borderId="3" xfId="5" applyNumberFormat="1" applyFont="1" applyFill="1" applyBorder="1" applyAlignment="1" applyProtection="1">
      <alignment horizontal="center" vertical="center" wrapText="1"/>
      <protection hidden="1"/>
    </xf>
    <xf numFmtId="169" fontId="6" fillId="5" borderId="4" xfId="5" applyNumberFormat="1" applyFont="1" applyFill="1" applyBorder="1" applyAlignment="1" applyProtection="1">
      <alignment horizontal="center" vertical="center" wrapText="1"/>
      <protection hidden="1"/>
    </xf>
    <xf numFmtId="169" fontId="6" fillId="3" borderId="5" xfId="5" applyNumberFormat="1" applyFont="1" applyFill="1" applyBorder="1" applyAlignment="1" applyProtection="1">
      <alignment horizontal="center" vertical="center" wrapText="1"/>
      <protection hidden="1"/>
    </xf>
    <xf numFmtId="168" fontId="7" fillId="3" borderId="2" xfId="5" applyNumberFormat="1" applyFont="1" applyFill="1" applyBorder="1" applyAlignment="1" applyProtection="1">
      <alignment horizontal="center" vertical="center" wrapText="1"/>
      <protection hidden="1"/>
    </xf>
    <xf numFmtId="168" fontId="7" fillId="3" borderId="6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20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21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22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3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5" xfId="5" applyNumberFormat="1" applyFont="1" applyFill="1" applyBorder="1" applyAlignment="1" applyProtection="1">
      <alignment horizontal="center" vertical="center" wrapText="1"/>
      <protection hidden="1"/>
    </xf>
    <xf numFmtId="169" fontId="33" fillId="3" borderId="4" xfId="5" applyNumberFormat="1" applyFont="1" applyFill="1" applyBorder="1" applyAlignment="1" applyProtection="1">
      <alignment horizontal="center" vertical="center" wrapText="1"/>
      <protection hidden="1"/>
    </xf>
    <xf numFmtId="169" fontId="31" fillId="5" borderId="3" xfId="5" applyNumberFormat="1" applyFont="1" applyFill="1" applyBorder="1" applyAlignment="1">
      <alignment horizontal="center" vertical="center" wrapText="1"/>
    </xf>
    <xf numFmtId="169" fontId="31" fillId="5" borderId="4" xfId="5" applyNumberFormat="1" applyFont="1" applyFill="1" applyBorder="1" applyAlignment="1">
      <alignment horizontal="center" vertical="center" wrapText="1"/>
    </xf>
    <xf numFmtId="169" fontId="51" fillId="0" borderId="0" xfId="5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4" borderId="30" xfId="0" applyFont="1" applyFill="1" applyBorder="1" applyAlignment="1">
      <alignment horizontal="center" vertical="center" wrapText="1"/>
    </xf>
    <xf numFmtId="0" fontId="15" fillId="0" borderId="32" xfId="0" applyFont="1" applyBorder="1"/>
    <xf numFmtId="166" fontId="6" fillId="4" borderId="26" xfId="0" applyNumberFormat="1" applyFont="1" applyFill="1" applyBorder="1" applyAlignment="1">
      <alignment horizontal="center" vertical="center"/>
    </xf>
    <xf numFmtId="0" fontId="15" fillId="0" borderId="30" xfId="0" applyFont="1" applyBorder="1"/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/>
    </xf>
    <xf numFmtId="0" fontId="15" fillId="0" borderId="28" xfId="0" applyFont="1" applyBorder="1"/>
    <xf numFmtId="0" fontId="15" fillId="0" borderId="29" xfId="0" applyFont="1" applyBorder="1"/>
    <xf numFmtId="0" fontId="13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169" fontId="38" fillId="3" borderId="3" xfId="5" applyNumberFormat="1" applyFont="1" applyFill="1" applyBorder="1" applyAlignment="1">
      <alignment horizontal="center" vertical="center" wrapText="1"/>
    </xf>
    <xf numFmtId="169" fontId="38" fillId="3" borderId="4" xfId="5" applyNumberFormat="1" applyFont="1" applyFill="1" applyBorder="1" applyAlignment="1">
      <alignment horizontal="center" vertical="center" wrapText="1"/>
    </xf>
    <xf numFmtId="169" fontId="38" fillId="3" borderId="2" xfId="5" applyNumberFormat="1" applyFont="1" applyFill="1" applyBorder="1" applyAlignment="1" applyProtection="1">
      <alignment horizontal="center" vertical="center" wrapText="1"/>
      <protection hidden="1"/>
    </xf>
    <xf numFmtId="169" fontId="38" fillId="3" borderId="6" xfId="5" applyNumberFormat="1" applyFont="1" applyFill="1" applyBorder="1" applyAlignment="1" applyProtection="1">
      <alignment horizontal="center" vertical="center" wrapText="1"/>
      <protection hidden="1"/>
    </xf>
    <xf numFmtId="169" fontId="38" fillId="3" borderId="5" xfId="5" applyNumberFormat="1" applyFont="1" applyFill="1" applyBorder="1" applyAlignment="1" applyProtection="1">
      <alignment horizontal="center" vertical="center" wrapText="1"/>
      <protection hidden="1"/>
    </xf>
    <xf numFmtId="169" fontId="38" fillId="3" borderId="4" xfId="5" applyNumberFormat="1" applyFont="1" applyFill="1" applyBorder="1" applyAlignment="1" applyProtection="1">
      <alignment horizontal="center" vertical="center" wrapText="1"/>
      <protection hidden="1"/>
    </xf>
    <xf numFmtId="169" fontId="18" fillId="0" borderId="3" xfId="5" applyNumberFormat="1" applyFont="1" applyBorder="1" applyAlignment="1">
      <alignment horizontal="center" vertical="center"/>
    </xf>
    <xf numFmtId="169" fontId="18" fillId="0" borderId="5" xfId="5" applyNumberFormat="1" applyFont="1" applyBorder="1" applyAlignment="1">
      <alignment horizontal="center" vertical="center"/>
    </xf>
    <xf numFmtId="169" fontId="18" fillId="0" borderId="4" xfId="5" applyNumberFormat="1" applyFont="1" applyBorder="1" applyAlignment="1">
      <alignment horizontal="center" vertical="center"/>
    </xf>
    <xf numFmtId="169" fontId="54" fillId="0" borderId="0" xfId="5" applyNumberFormat="1" applyFont="1" applyAlignment="1">
      <alignment horizontal="center"/>
    </xf>
    <xf numFmtId="169" fontId="17" fillId="0" borderId="0" xfId="5" applyNumberFormat="1" applyFont="1" applyAlignment="1">
      <alignment horizontal="center" vertical="center"/>
    </xf>
    <xf numFmtId="169" fontId="39" fillId="3" borderId="1" xfId="5" applyNumberFormat="1" applyFont="1" applyFill="1" applyBorder="1" applyAlignment="1" applyProtection="1">
      <alignment horizontal="center" vertical="center" wrapText="1"/>
      <protection hidden="1"/>
    </xf>
    <xf numFmtId="169" fontId="38" fillId="3" borderId="1" xfId="5" applyNumberFormat="1" applyFont="1" applyFill="1" applyBorder="1" applyAlignment="1" applyProtection="1">
      <alignment horizontal="center" vertical="center" wrapText="1"/>
      <protection hidden="1"/>
    </xf>
    <xf numFmtId="169" fontId="38" fillId="3" borderId="1" xfId="5" applyNumberFormat="1" applyFont="1" applyFill="1" applyBorder="1" applyAlignment="1">
      <alignment horizontal="center" vertical="center" wrapText="1"/>
    </xf>
    <xf numFmtId="169" fontId="38" fillId="3" borderId="2" xfId="5" applyNumberFormat="1" applyFont="1" applyFill="1" applyBorder="1" applyAlignment="1">
      <alignment horizontal="center" vertical="center" wrapText="1"/>
    </xf>
    <xf numFmtId="169" fontId="38" fillId="3" borderId="6" xfId="5" applyNumberFormat="1" applyFont="1" applyFill="1" applyBorder="1" applyAlignment="1">
      <alignment horizontal="center" vertical="center" wrapText="1"/>
    </xf>
    <xf numFmtId="169" fontId="8" fillId="0" borderId="0" xfId="5" applyNumberFormat="1" applyFont="1" applyBorder="1" applyAlignment="1" applyProtection="1">
      <alignment horizontal="right"/>
      <protection hidden="1"/>
    </xf>
    <xf numFmtId="169" fontId="38" fillId="3" borderId="2" xfId="5" applyNumberFormat="1" applyFont="1" applyFill="1" applyBorder="1" applyAlignment="1">
      <alignment horizontal="center" vertical="center"/>
    </xf>
    <xf numFmtId="169" fontId="38" fillId="3" borderId="6" xfId="5" applyNumberFormat="1" applyFont="1" applyFill="1" applyBorder="1" applyAlignment="1">
      <alignment horizontal="center" vertical="center"/>
    </xf>
    <xf numFmtId="169" fontId="38" fillId="3" borderId="1" xfId="5" applyNumberFormat="1" applyFont="1" applyFill="1" applyBorder="1" applyAlignment="1">
      <alignment horizontal="center" vertical="center"/>
    </xf>
    <xf numFmtId="43" fontId="38" fillId="3" borderId="1" xfId="5" applyFont="1" applyFill="1" applyBorder="1" applyAlignment="1">
      <alignment horizontal="center" vertical="center" wrapText="1"/>
    </xf>
    <xf numFmtId="169" fontId="38" fillId="3" borderId="5" xfId="5" applyNumberFormat="1" applyFont="1" applyFill="1" applyBorder="1" applyAlignment="1">
      <alignment horizontal="center" vertical="center" wrapText="1"/>
    </xf>
    <xf numFmtId="0" fontId="24" fillId="2" borderId="0" xfId="1" applyFont="1" applyFill="1" applyAlignment="1" applyProtection="1">
      <alignment horizontal="center" vertical="center"/>
      <protection hidden="1"/>
    </xf>
    <xf numFmtId="169" fontId="6" fillId="0" borderId="0" xfId="5" applyNumberFormat="1" applyFont="1" applyBorder="1" applyAlignment="1">
      <alignment horizontal="center"/>
    </xf>
    <xf numFmtId="169" fontId="19" fillId="0" borderId="0" xfId="5" applyNumberFormat="1" applyFont="1" applyBorder="1" applyAlignment="1" applyProtection="1">
      <alignment horizontal="center"/>
      <protection hidden="1"/>
    </xf>
    <xf numFmtId="169" fontId="4" fillId="0" borderId="7" xfId="5" applyNumberFormat="1" applyFont="1" applyBorder="1" applyAlignment="1">
      <alignment horizontal="center"/>
    </xf>
    <xf numFmtId="165" fontId="26" fillId="0" borderId="10" xfId="2" applyNumberFormat="1" applyFont="1" applyBorder="1" applyAlignment="1">
      <alignment vertical="top"/>
    </xf>
    <xf numFmtId="0" fontId="8" fillId="0" borderId="0" xfId="1" applyFont="1" applyAlignment="1">
      <alignment horizontal="center"/>
    </xf>
    <xf numFmtId="0" fontId="29" fillId="0" borderId="7" xfId="1" applyFont="1" applyBorder="1" applyAlignment="1">
      <alignment horizontal="center"/>
    </xf>
    <xf numFmtId="165" fontId="27" fillId="0" borderId="16" xfId="2" applyNumberFormat="1" applyFont="1" applyBorder="1" applyAlignment="1">
      <alignment horizontal="center" vertical="top"/>
    </xf>
    <xf numFmtId="165" fontId="27" fillId="0" borderId="9" xfId="2" applyNumberFormat="1" applyFont="1" applyBorder="1" applyAlignment="1">
      <alignment horizontal="center" vertical="top"/>
    </xf>
    <xf numFmtId="165" fontId="26" fillId="0" borderId="13" xfId="2" applyNumberFormat="1" applyFont="1" applyBorder="1" applyAlignment="1">
      <alignment horizontal="left" vertical="top"/>
    </xf>
    <xf numFmtId="165" fontId="27" fillId="0" borderId="17" xfId="2" applyNumberFormat="1" applyFont="1" applyBorder="1" applyAlignment="1">
      <alignment horizontal="left" vertical="center"/>
    </xf>
    <xf numFmtId="165" fontId="27" fillId="0" borderId="8" xfId="2" applyNumberFormat="1" applyFont="1" applyBorder="1" applyAlignment="1">
      <alignment horizontal="left" vertical="center"/>
    </xf>
    <xf numFmtId="165" fontId="26" fillId="0" borderId="17" xfId="2" applyNumberFormat="1" applyFont="1" applyBorder="1" applyAlignment="1">
      <alignment vertical="top"/>
    </xf>
    <xf numFmtId="165" fontId="26" fillId="0" borderId="8" xfId="2" applyNumberFormat="1" applyFont="1" applyBorder="1" applyAlignment="1">
      <alignment vertical="top"/>
    </xf>
    <xf numFmtId="0" fontId="30" fillId="0" borderId="10" xfId="1" applyFont="1" applyBorder="1"/>
    <xf numFmtId="165" fontId="27" fillId="0" borderId="21" xfId="2" applyNumberFormat="1" applyFont="1" applyBorder="1" applyAlignment="1">
      <alignment horizontal="center" vertical="top"/>
    </xf>
    <xf numFmtId="165" fontId="27" fillId="0" borderId="22" xfId="2" applyNumberFormat="1" applyFont="1" applyBorder="1" applyAlignment="1">
      <alignment horizontal="center" vertical="top"/>
    </xf>
    <xf numFmtId="165" fontId="26" fillId="0" borderId="15" xfId="2" applyNumberFormat="1" applyFont="1" applyBorder="1" applyAlignment="1">
      <alignment horizontal="left" vertical="top"/>
    </xf>
    <xf numFmtId="165" fontId="26" fillId="0" borderId="12" xfId="2" applyNumberFormat="1" applyFont="1" applyBorder="1" applyAlignment="1">
      <alignment horizontal="left" vertical="top"/>
    </xf>
    <xf numFmtId="165" fontId="31" fillId="0" borderId="21" xfId="2" applyNumberFormat="1" applyFont="1" applyBorder="1" applyAlignment="1">
      <alignment horizontal="center" vertical="center"/>
    </xf>
    <xf numFmtId="165" fontId="31" fillId="0" borderId="22" xfId="2" applyNumberFormat="1" applyFont="1" applyBorder="1" applyAlignment="1">
      <alignment horizontal="center" vertical="center"/>
    </xf>
    <xf numFmtId="165" fontId="32" fillId="0" borderId="7" xfId="2" applyNumberFormat="1" applyFont="1" applyBorder="1" applyAlignment="1">
      <alignment horizontal="center" vertical="center"/>
    </xf>
    <xf numFmtId="165" fontId="32" fillId="0" borderId="24" xfId="2" applyNumberFormat="1" applyFont="1" applyBorder="1" applyAlignment="1">
      <alignment horizontal="center" vertical="center"/>
    </xf>
    <xf numFmtId="0" fontId="30" fillId="0" borderId="15" xfId="1" applyFont="1" applyBorder="1" applyAlignment="1">
      <alignment horizontal="center"/>
    </xf>
    <xf numFmtId="0" fontId="30" fillId="0" borderId="12" xfId="1" applyFont="1" applyBorder="1" applyAlignment="1">
      <alignment horizontal="center"/>
    </xf>
  </cellXfs>
  <cellStyles count="10">
    <cellStyle name="Comma" xfId="5" builtinId="3"/>
    <cellStyle name="Comma 2 4" xfId="4" xr:uid="{00000000-0005-0000-0000-000001000000}"/>
    <cellStyle name="Comma 3" xfId="2" xr:uid="{00000000-0005-0000-0000-000002000000}"/>
    <cellStyle name="Hyperlink 2" xfId="6" xr:uid="{00000000-0005-0000-0000-000003000000}"/>
    <cellStyle name="Normal" xfId="0" builtinId="0"/>
    <cellStyle name="Normal 2" xfId="7" xr:uid="{00000000-0005-0000-0000-000005000000}"/>
    <cellStyle name="Normal 2 3" xfId="3" xr:uid="{00000000-0005-0000-0000-000006000000}"/>
    <cellStyle name="Normal 4 2" xfId="1" xr:uid="{00000000-0005-0000-0000-000007000000}"/>
    <cellStyle name="Normal 5" xfId="8" xr:uid="{00000000-0005-0000-0000-000008000000}"/>
    <cellStyle name="Normal 8" xfId="9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&#431;&#416;NG\T06-2026\20260703-CHAM%20CONG%20THANG%2006%20(1).xlsx" TargetMode="External"/><Relationship Id="rId1" Type="http://schemas.openxmlformats.org/officeDocument/2006/relationships/externalLinkPath" Target="20260703-CHAM%20CONG%20THANG%200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C"/>
      <sheetName val="KD"/>
      <sheetName val="HT"/>
      <sheetName val="Sheet1"/>
      <sheetName val="May Mới"/>
      <sheetName val="Sản Xuất"/>
      <sheetName val="PART TIME"/>
      <sheetName val="Sáng tạo"/>
      <sheetName val="LOGISTIC"/>
      <sheetName val="HCNS"/>
    </sheetNames>
    <sheetDataSet>
      <sheetData sheetId="0">
        <row r="6">
          <cell r="C6" t="str">
            <v>Phạm Đăng Anh Thư</v>
          </cell>
          <cell r="D6">
            <v>26</v>
          </cell>
          <cell r="E6">
            <v>0</v>
          </cell>
          <cell r="F6">
            <v>0</v>
          </cell>
          <cell r="I6">
            <v>0</v>
          </cell>
          <cell r="J6">
            <v>0</v>
          </cell>
          <cell r="K6">
            <v>0</v>
          </cell>
          <cell r="L6">
            <v>6</v>
          </cell>
          <cell r="M6">
            <v>6</v>
          </cell>
          <cell r="N6">
            <v>0</v>
          </cell>
          <cell r="O6">
            <v>0</v>
          </cell>
          <cell r="P6">
            <v>26</v>
          </cell>
          <cell r="Q6">
            <v>8</v>
          </cell>
          <cell r="R6">
            <v>8</v>
          </cell>
          <cell r="S6">
            <v>8</v>
          </cell>
          <cell r="T6">
            <v>8</v>
          </cell>
          <cell r="U6">
            <v>8</v>
          </cell>
          <cell r="V6">
            <v>8</v>
          </cell>
          <cell r="X6">
            <v>8</v>
          </cell>
          <cell r="Y6">
            <v>8</v>
          </cell>
          <cell r="Z6">
            <v>8</v>
          </cell>
          <cell r="AA6">
            <v>8</v>
          </cell>
          <cell r="AB6">
            <v>8</v>
          </cell>
          <cell r="AC6">
            <v>8</v>
          </cell>
          <cell r="AE6">
            <v>8</v>
          </cell>
          <cell r="AF6">
            <v>8</v>
          </cell>
          <cell r="AG6">
            <v>8</v>
          </cell>
          <cell r="AH6">
            <v>8</v>
          </cell>
          <cell r="AI6">
            <v>8</v>
          </cell>
          <cell r="AJ6">
            <v>8</v>
          </cell>
          <cell r="AL6">
            <v>8</v>
          </cell>
          <cell r="AM6">
            <v>8</v>
          </cell>
          <cell r="AN6">
            <v>8</v>
          </cell>
          <cell r="AO6">
            <v>8</v>
          </cell>
          <cell r="AP6">
            <v>8</v>
          </cell>
          <cell r="AQ6">
            <v>8</v>
          </cell>
          <cell r="AS6">
            <v>8</v>
          </cell>
          <cell r="AT6">
            <v>8</v>
          </cell>
        </row>
        <row r="7">
          <cell r="C7" t="str">
            <v>Nguyễn Diệp Anh Tuấn</v>
          </cell>
          <cell r="D7">
            <v>26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K7">
            <v>0</v>
          </cell>
          <cell r="L7">
            <v>6</v>
          </cell>
          <cell r="M7">
            <v>6</v>
          </cell>
          <cell r="N7">
            <v>0</v>
          </cell>
          <cell r="O7">
            <v>0</v>
          </cell>
          <cell r="P7">
            <v>26</v>
          </cell>
          <cell r="Q7">
            <v>8</v>
          </cell>
          <cell r="R7">
            <v>8</v>
          </cell>
          <cell r="S7">
            <v>8</v>
          </cell>
          <cell r="T7">
            <v>8</v>
          </cell>
          <cell r="U7">
            <v>8</v>
          </cell>
          <cell r="V7">
            <v>8</v>
          </cell>
          <cell r="X7">
            <v>8</v>
          </cell>
          <cell r="Y7">
            <v>8</v>
          </cell>
          <cell r="Z7">
            <v>8</v>
          </cell>
          <cell r="AA7">
            <v>8</v>
          </cell>
          <cell r="AB7">
            <v>8</v>
          </cell>
          <cell r="AC7">
            <v>8</v>
          </cell>
          <cell r="AE7">
            <v>8</v>
          </cell>
          <cell r="AF7">
            <v>8</v>
          </cell>
          <cell r="AG7">
            <v>8</v>
          </cell>
          <cell r="AH7">
            <v>8</v>
          </cell>
          <cell r="AI7">
            <v>8</v>
          </cell>
          <cell r="AJ7">
            <v>8</v>
          </cell>
          <cell r="AL7">
            <v>8</v>
          </cell>
          <cell r="AM7">
            <v>8</v>
          </cell>
          <cell r="AN7">
            <v>8</v>
          </cell>
          <cell r="AO7">
            <v>8</v>
          </cell>
          <cell r="AP7">
            <v>8</v>
          </cell>
          <cell r="AQ7">
            <v>8</v>
          </cell>
          <cell r="AS7">
            <v>8</v>
          </cell>
          <cell r="AT7">
            <v>8</v>
          </cell>
        </row>
        <row r="8">
          <cell r="C8" t="str">
            <v>Nguyễn Diệu Quý Chi</v>
          </cell>
          <cell r="D8">
            <v>27.381250000000001</v>
          </cell>
          <cell r="E8">
            <v>0</v>
          </cell>
          <cell r="F8">
            <v>0</v>
          </cell>
          <cell r="H8">
            <v>0</v>
          </cell>
          <cell r="I8">
            <v>0</v>
          </cell>
          <cell r="J8">
            <v>0.76500000000000001</v>
          </cell>
          <cell r="K8">
            <v>0</v>
          </cell>
          <cell r="L8">
            <v>6</v>
          </cell>
          <cell r="M8">
            <v>6</v>
          </cell>
          <cell r="N8">
            <v>6.12</v>
          </cell>
          <cell r="O8">
            <v>0</v>
          </cell>
          <cell r="P8">
            <v>27.381250000000001</v>
          </cell>
          <cell r="Q8">
            <v>9.58</v>
          </cell>
          <cell r="R8">
            <v>9.1300000000000008</v>
          </cell>
          <cell r="S8">
            <v>8.4</v>
          </cell>
          <cell r="T8">
            <v>6.23</v>
          </cell>
          <cell r="U8">
            <v>7.37</v>
          </cell>
          <cell r="V8">
            <v>6.93</v>
          </cell>
          <cell r="X8">
            <v>7.32</v>
          </cell>
          <cell r="Y8">
            <v>6.78</v>
          </cell>
          <cell r="Z8">
            <v>10</v>
          </cell>
          <cell r="AB8">
            <v>10.67</v>
          </cell>
          <cell r="AC8">
            <v>8.23</v>
          </cell>
          <cell r="AE8">
            <v>10.02</v>
          </cell>
          <cell r="AF8">
            <v>7.78</v>
          </cell>
          <cell r="AG8">
            <v>8.6300000000000008</v>
          </cell>
          <cell r="AH8">
            <v>10.45</v>
          </cell>
          <cell r="AI8">
            <v>9.1300000000000008</v>
          </cell>
          <cell r="AJ8">
            <v>5.22</v>
          </cell>
          <cell r="AL8">
            <v>9.73</v>
          </cell>
          <cell r="AM8">
            <v>10.85</v>
          </cell>
          <cell r="AN8">
            <v>10.77</v>
          </cell>
          <cell r="AO8">
            <v>10.68</v>
          </cell>
          <cell r="AP8">
            <v>7.15</v>
          </cell>
          <cell r="AQ8">
            <v>8.6300000000000008</v>
          </cell>
          <cell r="AS8">
            <v>11.22</v>
          </cell>
          <cell r="AT8">
            <v>8.15</v>
          </cell>
          <cell r="DA8">
            <v>6.12</v>
          </cell>
        </row>
        <row r="9">
          <cell r="C9" t="str">
            <v>Phạm Đăng Anh Thảo</v>
          </cell>
          <cell r="D9">
            <v>19.0425</v>
          </cell>
          <cell r="E9">
            <v>1</v>
          </cell>
          <cell r="F9">
            <v>0</v>
          </cell>
          <cell r="H9">
            <v>0</v>
          </cell>
          <cell r="I9">
            <v>6.5875000000000004</v>
          </cell>
          <cell r="J9">
            <v>1.1412500000000001</v>
          </cell>
          <cell r="K9">
            <v>0</v>
          </cell>
          <cell r="L9">
            <v>2</v>
          </cell>
          <cell r="M9">
            <v>1</v>
          </cell>
          <cell r="N9">
            <v>9.1300000000000008</v>
          </cell>
          <cell r="O9">
            <v>52.7</v>
          </cell>
          <cell r="P9">
            <v>25.63</v>
          </cell>
          <cell r="Q9">
            <v>6</v>
          </cell>
          <cell r="R9">
            <v>7.08</v>
          </cell>
          <cell r="S9">
            <v>6.92</v>
          </cell>
          <cell r="T9">
            <v>6.17</v>
          </cell>
          <cell r="U9">
            <v>6.5</v>
          </cell>
          <cell r="V9">
            <v>5.42</v>
          </cell>
          <cell r="X9">
            <v>6.75</v>
          </cell>
          <cell r="Y9">
            <v>5.83</v>
          </cell>
          <cell r="Z9">
            <v>6</v>
          </cell>
          <cell r="AA9">
            <v>6.23</v>
          </cell>
          <cell r="AB9">
            <v>5.08</v>
          </cell>
          <cell r="AC9">
            <v>6.1</v>
          </cell>
          <cell r="AE9">
            <v>6.72</v>
          </cell>
          <cell r="AF9">
            <v>8</v>
          </cell>
          <cell r="AG9">
            <v>6</v>
          </cell>
          <cell r="AH9">
            <v>6</v>
          </cell>
          <cell r="AI9">
            <v>4.78</v>
          </cell>
          <cell r="AJ9">
            <v>6.58</v>
          </cell>
          <cell r="AL9">
            <v>8</v>
          </cell>
          <cell r="AM9">
            <v>4</v>
          </cell>
          <cell r="AN9">
            <v>5.65</v>
          </cell>
          <cell r="AO9">
            <v>5</v>
          </cell>
          <cell r="AP9">
            <v>3.78</v>
          </cell>
          <cell r="AQ9" t="str">
            <v>P</v>
          </cell>
          <cell r="AS9">
            <v>8</v>
          </cell>
          <cell r="AT9">
            <v>5.75</v>
          </cell>
          <cell r="AW9">
            <v>2.88</v>
          </cell>
          <cell r="AX9">
            <v>2.8</v>
          </cell>
          <cell r="AY9">
            <v>2.83</v>
          </cell>
          <cell r="AZ9">
            <v>2.62</v>
          </cell>
          <cell r="BB9">
            <v>0.92</v>
          </cell>
          <cell r="BD9">
            <v>2.62</v>
          </cell>
          <cell r="BE9">
            <v>2.5499999999999998</v>
          </cell>
          <cell r="BF9">
            <v>2.72</v>
          </cell>
          <cell r="BG9">
            <v>1.3</v>
          </cell>
          <cell r="BI9">
            <v>2.5499999999999998</v>
          </cell>
          <cell r="BK9">
            <v>2.72</v>
          </cell>
          <cell r="BL9">
            <v>4.33</v>
          </cell>
          <cell r="BM9">
            <v>3</v>
          </cell>
          <cell r="BN9">
            <v>2.63</v>
          </cell>
          <cell r="BP9">
            <v>2.5</v>
          </cell>
          <cell r="BS9">
            <v>4</v>
          </cell>
          <cell r="BU9">
            <v>6.2</v>
          </cell>
          <cell r="BY9">
            <v>3.53</v>
          </cell>
          <cell r="DA9">
            <v>9.1300000000000008</v>
          </cell>
        </row>
        <row r="10">
          <cell r="C10" t="str">
            <v>Nguyễn Thành Long</v>
          </cell>
          <cell r="D10">
            <v>23.048749999999998</v>
          </cell>
          <cell r="E10">
            <v>0</v>
          </cell>
          <cell r="F10">
            <v>0</v>
          </cell>
          <cell r="H10">
            <v>0</v>
          </cell>
          <cell r="I10">
            <v>1.00125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0</v>
          </cell>
          <cell r="O10">
            <v>8.01</v>
          </cell>
          <cell r="P10">
            <v>24.05</v>
          </cell>
          <cell r="Q10">
            <v>6.83</v>
          </cell>
          <cell r="R10">
            <v>7.42</v>
          </cell>
          <cell r="S10">
            <v>7.5</v>
          </cell>
          <cell r="T10">
            <v>7.88</v>
          </cell>
          <cell r="U10">
            <v>6.15</v>
          </cell>
          <cell r="V10">
            <v>7.5</v>
          </cell>
          <cell r="X10">
            <v>7.92</v>
          </cell>
          <cell r="Y10">
            <v>7.43</v>
          </cell>
          <cell r="Z10">
            <v>7.37</v>
          </cell>
          <cell r="AA10">
            <v>7.3</v>
          </cell>
          <cell r="AB10">
            <v>5.38</v>
          </cell>
          <cell r="AC10">
            <v>6.57</v>
          </cell>
          <cell r="AE10">
            <v>4.3499999999999996</v>
          </cell>
          <cell r="AF10">
            <v>7.38</v>
          </cell>
          <cell r="AG10">
            <v>7.3</v>
          </cell>
          <cell r="AH10">
            <v>7.1</v>
          </cell>
          <cell r="AI10">
            <v>7.08</v>
          </cell>
          <cell r="AJ10">
            <v>7.22</v>
          </cell>
          <cell r="AL10">
            <v>6.9</v>
          </cell>
          <cell r="AM10">
            <v>7.52</v>
          </cell>
          <cell r="AN10">
            <v>8</v>
          </cell>
          <cell r="AO10">
            <v>7.15</v>
          </cell>
          <cell r="AP10">
            <v>7.48</v>
          </cell>
          <cell r="AQ10">
            <v>7.53</v>
          </cell>
          <cell r="AS10">
            <v>7.43</v>
          </cell>
          <cell r="AT10">
            <v>6.7</v>
          </cell>
          <cell r="BJ10">
            <v>8.01</v>
          </cell>
          <cell r="DI10">
            <v>0</v>
          </cell>
        </row>
        <row r="11">
          <cell r="C11" t="str">
            <v>Phạm Thị Kim Trang</v>
          </cell>
          <cell r="D11">
            <v>23.74625</v>
          </cell>
          <cell r="E11">
            <v>0</v>
          </cell>
          <cell r="F11">
            <v>0</v>
          </cell>
          <cell r="H11">
            <v>0</v>
          </cell>
          <cell r="I11">
            <v>0.85</v>
          </cell>
          <cell r="J11">
            <v>0.65625</v>
          </cell>
          <cell r="K11">
            <v>0</v>
          </cell>
          <cell r="L11">
            <v>1</v>
          </cell>
          <cell r="M11">
            <v>1</v>
          </cell>
          <cell r="N11">
            <v>5.25</v>
          </cell>
          <cell r="O11">
            <v>6.8</v>
          </cell>
          <cell r="P11">
            <v>24.596250000000001</v>
          </cell>
          <cell r="Q11">
            <v>8</v>
          </cell>
          <cell r="R11">
            <v>7.92</v>
          </cell>
          <cell r="S11">
            <v>8</v>
          </cell>
          <cell r="T11">
            <v>8</v>
          </cell>
          <cell r="U11">
            <v>8</v>
          </cell>
          <cell r="V11">
            <v>7.89</v>
          </cell>
          <cell r="Y11">
            <v>8</v>
          </cell>
          <cell r="Z11">
            <v>7.5</v>
          </cell>
          <cell r="AA11">
            <v>8</v>
          </cell>
          <cell r="AB11">
            <v>8</v>
          </cell>
          <cell r="AC11">
            <v>8</v>
          </cell>
          <cell r="AD11">
            <v>8</v>
          </cell>
          <cell r="AE11">
            <v>7.78</v>
          </cell>
          <cell r="AF11">
            <v>8</v>
          </cell>
          <cell r="AG11">
            <v>8</v>
          </cell>
          <cell r="AH11">
            <v>8</v>
          </cell>
          <cell r="AI11">
            <v>8</v>
          </cell>
          <cell r="AJ11">
            <v>8</v>
          </cell>
          <cell r="AK11">
            <v>8</v>
          </cell>
          <cell r="AL11">
            <v>8</v>
          </cell>
          <cell r="AM11">
            <v>8</v>
          </cell>
          <cell r="AN11">
            <v>8</v>
          </cell>
          <cell r="AO11">
            <v>7.05</v>
          </cell>
          <cell r="AP11">
            <v>7.83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Y11">
            <v>0.67</v>
          </cell>
          <cell r="BU11">
            <v>1.1299999999999999</v>
          </cell>
          <cell r="BV11">
            <v>5</v>
          </cell>
          <cell r="DA11">
            <v>5.25</v>
          </cell>
          <cell r="DI11">
            <v>0</v>
          </cell>
        </row>
        <row r="12">
          <cell r="C12" t="str">
            <v>Nguyễn Thị Đài Trang</v>
          </cell>
          <cell r="D12">
            <v>21.984999999999999</v>
          </cell>
          <cell r="E12">
            <v>0</v>
          </cell>
          <cell r="F12">
            <v>0</v>
          </cell>
          <cell r="H12">
            <v>0</v>
          </cell>
          <cell r="I12">
            <v>1.9524999999999999</v>
          </cell>
          <cell r="J12">
            <v>0</v>
          </cell>
          <cell r="K12">
            <v>0</v>
          </cell>
          <cell r="L12">
            <v>4</v>
          </cell>
          <cell r="M12">
            <v>4</v>
          </cell>
          <cell r="N12">
            <v>0</v>
          </cell>
          <cell r="O12">
            <v>15.62</v>
          </cell>
          <cell r="P12">
            <v>23.9375</v>
          </cell>
          <cell r="Q12">
            <v>8</v>
          </cell>
          <cell r="R12">
            <v>8</v>
          </cell>
          <cell r="T12">
            <v>7.83</v>
          </cell>
          <cell r="U12">
            <v>7.83</v>
          </cell>
          <cell r="V12">
            <v>8</v>
          </cell>
          <cell r="W12">
            <v>7.9</v>
          </cell>
          <cell r="Y12">
            <v>6.5</v>
          </cell>
          <cell r="Z12">
            <v>7.83</v>
          </cell>
          <cell r="AB12">
            <v>6.5</v>
          </cell>
          <cell r="AC12">
            <v>8</v>
          </cell>
          <cell r="AD12">
            <v>8</v>
          </cell>
          <cell r="AE12">
            <v>7.23</v>
          </cell>
          <cell r="AF12">
            <v>8</v>
          </cell>
          <cell r="AG12">
            <v>7.72</v>
          </cell>
          <cell r="AH12">
            <v>8</v>
          </cell>
          <cell r="AI12">
            <v>7.68</v>
          </cell>
          <cell r="AJ12">
            <v>8</v>
          </cell>
          <cell r="AK12">
            <v>8</v>
          </cell>
          <cell r="AL12">
            <v>7.58</v>
          </cell>
          <cell r="AM12">
            <v>7.6</v>
          </cell>
          <cell r="AN12">
            <v>8</v>
          </cell>
          <cell r="AO12">
            <v>8</v>
          </cell>
          <cell r="AP12">
            <v>5.68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W12">
            <v>0.5</v>
          </cell>
          <cell r="BJ12">
            <v>5.05</v>
          </cell>
          <cell r="BL12">
            <v>0.67</v>
          </cell>
          <cell r="BO12">
            <v>5.12</v>
          </cell>
          <cell r="BU12">
            <v>4.28</v>
          </cell>
          <cell r="DI12">
            <v>0</v>
          </cell>
        </row>
        <row r="13">
          <cell r="C13" t="str">
            <v>Vương Thị Ngọc Như</v>
          </cell>
          <cell r="D13">
            <v>23.638750000000002</v>
          </cell>
          <cell r="E13">
            <v>2</v>
          </cell>
          <cell r="F13">
            <v>0</v>
          </cell>
          <cell r="H13">
            <v>0</v>
          </cell>
          <cell r="I13">
            <v>3.6887500000000002</v>
          </cell>
          <cell r="J13">
            <v>0.66249999999999998</v>
          </cell>
          <cell r="K13">
            <v>0</v>
          </cell>
          <cell r="L13">
            <v>3</v>
          </cell>
          <cell r="M13">
            <v>1</v>
          </cell>
          <cell r="N13">
            <v>5.3</v>
          </cell>
          <cell r="O13">
            <v>29.51</v>
          </cell>
          <cell r="P13">
            <v>27.327500000000001</v>
          </cell>
          <cell r="U13" t="str">
            <v>P</v>
          </cell>
          <cell r="V13" t="str">
            <v>P</v>
          </cell>
          <cell r="W13">
            <v>8</v>
          </cell>
          <cell r="X13">
            <v>8</v>
          </cell>
          <cell r="Y13">
            <v>8</v>
          </cell>
          <cell r="Z13">
            <v>7.92</v>
          </cell>
          <cell r="AA13">
            <v>7.78</v>
          </cell>
          <cell r="AB13">
            <v>8</v>
          </cell>
          <cell r="AC13">
            <v>7.92</v>
          </cell>
          <cell r="AD13">
            <v>8</v>
          </cell>
          <cell r="AE13">
            <v>6.78</v>
          </cell>
          <cell r="AF13">
            <v>8</v>
          </cell>
          <cell r="AG13">
            <v>8</v>
          </cell>
          <cell r="AH13">
            <v>8</v>
          </cell>
          <cell r="AI13">
            <v>7.8</v>
          </cell>
          <cell r="AJ13">
            <v>8</v>
          </cell>
          <cell r="AK13">
            <v>7.83</v>
          </cell>
          <cell r="AL13">
            <v>7.82</v>
          </cell>
          <cell r="AM13">
            <v>7.83</v>
          </cell>
          <cell r="AN13">
            <v>7.43</v>
          </cell>
          <cell r="AO13">
            <v>8</v>
          </cell>
          <cell r="AP13">
            <v>8</v>
          </cell>
          <cell r="AQ13">
            <v>8</v>
          </cell>
          <cell r="AR13">
            <v>8</v>
          </cell>
          <cell r="AS13">
            <v>8</v>
          </cell>
          <cell r="AT13">
            <v>8</v>
          </cell>
          <cell r="BJ13">
            <v>5.0999999999999996</v>
          </cell>
          <cell r="BQ13">
            <v>0.5</v>
          </cell>
          <cell r="BU13">
            <v>4.5</v>
          </cell>
          <cell r="BV13">
            <v>5.5</v>
          </cell>
          <cell r="BW13">
            <v>3.28</v>
          </cell>
          <cell r="BX13">
            <v>2.4500000000000002</v>
          </cell>
          <cell r="BY13">
            <v>4.18</v>
          </cell>
          <cell r="BZ13">
            <v>4</v>
          </cell>
          <cell r="DA13">
            <v>5.3</v>
          </cell>
          <cell r="DI13">
            <v>0</v>
          </cell>
        </row>
        <row r="14">
          <cell r="C14" t="str">
            <v>Nguyễn Ngọc Hân</v>
          </cell>
          <cell r="D14">
            <v>22.564999999999998</v>
          </cell>
          <cell r="E14">
            <v>1</v>
          </cell>
          <cell r="F14">
            <v>2</v>
          </cell>
          <cell r="H14">
            <v>0</v>
          </cell>
          <cell r="I14">
            <v>4.0612500000000002</v>
          </cell>
          <cell r="J14">
            <v>0.66</v>
          </cell>
          <cell r="K14">
            <v>0</v>
          </cell>
          <cell r="L14">
            <v>1</v>
          </cell>
          <cell r="M14">
            <v>0</v>
          </cell>
          <cell r="N14">
            <v>5.28</v>
          </cell>
          <cell r="O14">
            <v>32.49</v>
          </cell>
          <cell r="P14">
            <v>26.626249999999999</v>
          </cell>
          <cell r="Q14">
            <v>7.83</v>
          </cell>
          <cell r="R14">
            <v>8</v>
          </cell>
          <cell r="S14">
            <v>8</v>
          </cell>
          <cell r="U14">
            <v>8</v>
          </cell>
          <cell r="V14">
            <v>7.92</v>
          </cell>
          <cell r="W14">
            <v>7.67</v>
          </cell>
          <cell r="X14">
            <v>8</v>
          </cell>
          <cell r="Y14">
            <v>7.83</v>
          </cell>
          <cell r="Z14">
            <v>7.5</v>
          </cell>
          <cell r="AA14">
            <v>7.92</v>
          </cell>
          <cell r="AC14">
            <v>6.73</v>
          </cell>
          <cell r="AD14">
            <v>7.88</v>
          </cell>
          <cell r="AE14" t="str">
            <v>KL</v>
          </cell>
          <cell r="AF14" t="str">
            <v>KL</v>
          </cell>
          <cell r="AH14" t="str">
            <v>P</v>
          </cell>
          <cell r="AI14">
            <v>8</v>
          </cell>
          <cell r="AJ14">
            <v>7.77</v>
          </cell>
          <cell r="AK14">
            <v>7.92</v>
          </cell>
          <cell r="AL14">
            <v>8</v>
          </cell>
          <cell r="AM14">
            <v>8</v>
          </cell>
          <cell r="AN14">
            <v>7.73</v>
          </cell>
          <cell r="AO14">
            <v>7.82</v>
          </cell>
          <cell r="AP14">
            <v>8</v>
          </cell>
          <cell r="AR14">
            <v>8</v>
          </cell>
          <cell r="AS14">
            <v>8</v>
          </cell>
          <cell r="AT14">
            <v>8</v>
          </cell>
          <cell r="BD14">
            <v>4.07</v>
          </cell>
          <cell r="BJ14">
            <v>5.09</v>
          </cell>
          <cell r="BT14">
            <v>1.3</v>
          </cell>
          <cell r="BU14">
            <v>5.28</v>
          </cell>
          <cell r="BV14">
            <v>5</v>
          </cell>
          <cell r="BX14">
            <v>4.0199999999999996</v>
          </cell>
          <cell r="BY14">
            <v>3.48</v>
          </cell>
          <cell r="BZ14">
            <v>4.25</v>
          </cell>
          <cell r="DA14">
            <v>5.28</v>
          </cell>
          <cell r="DI14">
            <v>0</v>
          </cell>
        </row>
        <row r="15">
          <cell r="C15" t="str">
            <v>Lê Thị Hiếu</v>
          </cell>
          <cell r="D15">
            <v>21.298749999999998</v>
          </cell>
          <cell r="E15">
            <v>0</v>
          </cell>
          <cell r="F15">
            <v>0</v>
          </cell>
          <cell r="H15">
            <v>0</v>
          </cell>
          <cell r="I15">
            <v>3.8562500000000002</v>
          </cell>
          <cell r="J15">
            <v>0.67500000000000004</v>
          </cell>
          <cell r="K15">
            <v>0</v>
          </cell>
          <cell r="L15">
            <v>1</v>
          </cell>
          <cell r="M15">
            <v>1</v>
          </cell>
          <cell r="N15">
            <v>5.4</v>
          </cell>
          <cell r="O15">
            <v>30.85</v>
          </cell>
          <cell r="P15">
            <v>25.155000000000001</v>
          </cell>
          <cell r="Q15">
            <v>0</v>
          </cell>
          <cell r="R15">
            <v>8</v>
          </cell>
          <cell r="S15">
            <v>7.83</v>
          </cell>
          <cell r="T15">
            <v>7.58</v>
          </cell>
          <cell r="U15">
            <v>7.75</v>
          </cell>
          <cell r="V15">
            <v>8</v>
          </cell>
          <cell r="X15">
            <v>8</v>
          </cell>
          <cell r="Y15">
            <v>7</v>
          </cell>
          <cell r="Z15">
            <v>7.68</v>
          </cell>
          <cell r="AA15">
            <v>6.7</v>
          </cell>
          <cell r="AB15">
            <v>7.67</v>
          </cell>
          <cell r="AC15">
            <v>8</v>
          </cell>
          <cell r="AE15">
            <v>7.72</v>
          </cell>
          <cell r="AF15">
            <v>8</v>
          </cell>
          <cell r="AG15">
            <v>7.92</v>
          </cell>
          <cell r="AH15">
            <v>8</v>
          </cell>
          <cell r="AI15">
            <v>7.73</v>
          </cell>
          <cell r="AJ15">
            <v>7.4</v>
          </cell>
          <cell r="AL15">
            <v>7.63</v>
          </cell>
          <cell r="AM15">
            <v>8</v>
          </cell>
          <cell r="AN15">
            <v>8</v>
          </cell>
          <cell r="AO15">
            <v>7.78</v>
          </cell>
          <cell r="AP15">
            <v>8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Y15">
            <v>0.6</v>
          </cell>
          <cell r="AZ15">
            <v>5.5</v>
          </cell>
          <cell r="BB15">
            <v>1.37</v>
          </cell>
          <cell r="BD15">
            <v>0.78</v>
          </cell>
          <cell r="BJ15">
            <v>8.58</v>
          </cell>
          <cell r="BO15">
            <v>3.62</v>
          </cell>
          <cell r="BT15">
            <v>2.63</v>
          </cell>
          <cell r="BU15">
            <v>3.77</v>
          </cell>
          <cell r="BV15">
            <v>4</v>
          </cell>
          <cell r="DA15">
            <v>5.4</v>
          </cell>
          <cell r="DI15">
            <v>0</v>
          </cell>
        </row>
        <row r="16">
          <cell r="C16" t="str">
            <v>Lê Thị Bảo Ngọc</v>
          </cell>
          <cell r="D16">
            <v>25.82</v>
          </cell>
          <cell r="E16">
            <v>0</v>
          </cell>
          <cell r="F16">
            <v>0</v>
          </cell>
          <cell r="H16">
            <v>0</v>
          </cell>
          <cell r="I16">
            <v>4.0962500000000004</v>
          </cell>
          <cell r="J16">
            <v>0.66</v>
          </cell>
          <cell r="K16">
            <v>0</v>
          </cell>
          <cell r="L16">
            <v>6</v>
          </cell>
          <cell r="M16">
            <v>6</v>
          </cell>
          <cell r="N16">
            <v>5.28</v>
          </cell>
          <cell r="O16">
            <v>32.770000000000003</v>
          </cell>
          <cell r="P16">
            <v>29.916250000000002</v>
          </cell>
          <cell r="Q16">
            <v>7.92</v>
          </cell>
          <cell r="S16">
            <v>8</v>
          </cell>
          <cell r="T16">
            <v>8</v>
          </cell>
          <cell r="U16">
            <v>7.92</v>
          </cell>
          <cell r="V16">
            <v>8</v>
          </cell>
          <cell r="W16">
            <v>8</v>
          </cell>
          <cell r="X16">
            <v>7.75</v>
          </cell>
          <cell r="Y16">
            <v>7.83</v>
          </cell>
          <cell r="AA16">
            <v>8</v>
          </cell>
          <cell r="AB16">
            <v>8</v>
          </cell>
          <cell r="AC16">
            <v>8</v>
          </cell>
          <cell r="AD16">
            <v>7.56</v>
          </cell>
          <cell r="AE16">
            <v>8</v>
          </cell>
          <cell r="AF16">
            <v>8</v>
          </cell>
          <cell r="AG16">
            <v>8</v>
          </cell>
          <cell r="AH16">
            <v>7.83</v>
          </cell>
          <cell r="AJ16">
            <v>8</v>
          </cell>
          <cell r="AK16">
            <v>7.92</v>
          </cell>
          <cell r="AL16">
            <v>8</v>
          </cell>
          <cell r="AM16">
            <v>7.83</v>
          </cell>
          <cell r="AO16">
            <v>8</v>
          </cell>
          <cell r="AP16">
            <v>8</v>
          </cell>
          <cell r="AQ16">
            <v>8</v>
          </cell>
          <cell r="AR16">
            <v>8</v>
          </cell>
          <cell r="AS16">
            <v>8</v>
          </cell>
          <cell r="AT16">
            <v>8</v>
          </cell>
          <cell r="AW16">
            <v>0.57999999999999996</v>
          </cell>
          <cell r="BD16">
            <v>4.08</v>
          </cell>
          <cell r="BJ16">
            <v>5.0599999999999996</v>
          </cell>
          <cell r="BQ16">
            <v>0.5</v>
          </cell>
          <cell r="BU16">
            <v>4.32</v>
          </cell>
          <cell r="BV16">
            <v>4.2</v>
          </cell>
          <cell r="BW16">
            <v>3.3</v>
          </cell>
          <cell r="BX16">
            <v>3.3</v>
          </cell>
          <cell r="BY16">
            <v>4.13</v>
          </cell>
          <cell r="BZ16">
            <v>3.3</v>
          </cell>
          <cell r="DA16">
            <v>5.28</v>
          </cell>
          <cell r="DI16">
            <v>0</v>
          </cell>
        </row>
        <row r="17">
          <cell r="C17" t="str">
            <v>Hoàng Ngọc Trang</v>
          </cell>
          <cell r="D17">
            <v>3.5212500000000002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3.5212500000000002</v>
          </cell>
          <cell r="Q17">
            <v>6.67</v>
          </cell>
          <cell r="R17">
            <v>8</v>
          </cell>
          <cell r="S17">
            <v>8</v>
          </cell>
          <cell r="T17">
            <v>5.5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DI17">
            <v>0</v>
          </cell>
        </row>
        <row r="18">
          <cell r="C18" t="str">
            <v>Dương Nguyễn Anh Khoa</v>
          </cell>
          <cell r="D18">
            <v>24.68375</v>
          </cell>
          <cell r="E18">
            <v>0</v>
          </cell>
          <cell r="F18">
            <v>0</v>
          </cell>
          <cell r="H18">
            <v>0</v>
          </cell>
          <cell r="I18">
            <v>15.40625</v>
          </cell>
          <cell r="J18">
            <v>1.4225000000000001</v>
          </cell>
          <cell r="K18">
            <v>0</v>
          </cell>
          <cell r="L18">
            <v>5</v>
          </cell>
          <cell r="M18">
            <v>5</v>
          </cell>
          <cell r="N18">
            <v>11.38</v>
          </cell>
          <cell r="O18">
            <v>123.25</v>
          </cell>
          <cell r="P18">
            <v>40.090000000000003</v>
          </cell>
          <cell r="Q18">
            <v>7.33</v>
          </cell>
          <cell r="R18">
            <v>7.33</v>
          </cell>
          <cell r="S18">
            <v>7.58</v>
          </cell>
          <cell r="T18">
            <v>7.5</v>
          </cell>
          <cell r="U18">
            <v>7.33</v>
          </cell>
          <cell r="V18">
            <v>7.75</v>
          </cell>
          <cell r="X18">
            <v>7.75</v>
          </cell>
          <cell r="Y18">
            <v>7.58</v>
          </cell>
          <cell r="Z18">
            <v>7.52</v>
          </cell>
          <cell r="AA18">
            <v>7.72</v>
          </cell>
          <cell r="AB18">
            <v>7.63</v>
          </cell>
          <cell r="AC18">
            <v>8</v>
          </cell>
          <cell r="AE18">
            <v>7.58</v>
          </cell>
          <cell r="AF18">
            <v>8</v>
          </cell>
          <cell r="AG18">
            <v>7.18</v>
          </cell>
          <cell r="AH18">
            <v>7.47</v>
          </cell>
          <cell r="AI18">
            <v>6.97</v>
          </cell>
          <cell r="AJ18">
            <v>7.62</v>
          </cell>
          <cell r="AL18">
            <v>7.7</v>
          </cell>
          <cell r="AM18">
            <v>7.6</v>
          </cell>
          <cell r="AN18">
            <v>7.48</v>
          </cell>
          <cell r="AO18">
            <v>7.18</v>
          </cell>
          <cell r="AP18">
            <v>8</v>
          </cell>
          <cell r="AQ18">
            <v>8</v>
          </cell>
          <cell r="AS18">
            <v>7.67</v>
          </cell>
          <cell r="AT18">
            <v>8</v>
          </cell>
          <cell r="AW18">
            <v>2.97</v>
          </cell>
          <cell r="AX18">
            <v>3.47</v>
          </cell>
          <cell r="AY18">
            <v>3</v>
          </cell>
          <cell r="AZ18">
            <v>3.47</v>
          </cell>
          <cell r="BA18">
            <v>1.7</v>
          </cell>
          <cell r="BB18">
            <v>5.52</v>
          </cell>
          <cell r="BC18">
            <v>5.67</v>
          </cell>
          <cell r="BD18">
            <v>2.83</v>
          </cell>
          <cell r="BE18">
            <v>3.45</v>
          </cell>
          <cell r="BF18">
            <v>2.75</v>
          </cell>
          <cell r="BG18">
            <v>6</v>
          </cell>
          <cell r="BH18">
            <v>4.07</v>
          </cell>
          <cell r="BI18">
            <v>2.93</v>
          </cell>
          <cell r="BJ18">
            <v>7.93</v>
          </cell>
          <cell r="BK18">
            <v>2.4500000000000002</v>
          </cell>
          <cell r="BL18">
            <v>6.25</v>
          </cell>
          <cell r="BM18">
            <v>6.6</v>
          </cell>
          <cell r="BN18">
            <v>2.4700000000000002</v>
          </cell>
          <cell r="BO18">
            <v>2.4500000000000002</v>
          </cell>
          <cell r="BP18">
            <v>1</v>
          </cell>
          <cell r="BQ18">
            <v>7.42</v>
          </cell>
          <cell r="BR18">
            <v>2.72</v>
          </cell>
          <cell r="BS18">
            <v>5.52</v>
          </cell>
          <cell r="BT18">
            <v>6.85</v>
          </cell>
          <cell r="BU18">
            <v>5</v>
          </cell>
          <cell r="BV18">
            <v>5</v>
          </cell>
          <cell r="BW18">
            <v>5.6</v>
          </cell>
          <cell r="BX18">
            <v>3.43</v>
          </cell>
          <cell r="BY18">
            <v>1.63</v>
          </cell>
          <cell r="BZ18">
            <v>3.1</v>
          </cell>
          <cell r="DA18">
            <v>5.25</v>
          </cell>
          <cell r="DB18">
            <v>6.13</v>
          </cell>
          <cell r="DI18">
            <v>0</v>
          </cell>
        </row>
        <row r="19">
          <cell r="C19" t="str">
            <v>Mai Hà Xuân Phúc</v>
          </cell>
          <cell r="D19">
            <v>22.004999999999999</v>
          </cell>
          <cell r="E19">
            <v>0</v>
          </cell>
          <cell r="F19">
            <v>0</v>
          </cell>
          <cell r="H19">
            <v>0</v>
          </cell>
          <cell r="I19">
            <v>12.61</v>
          </cell>
          <cell r="J19">
            <v>1.0525</v>
          </cell>
          <cell r="K19">
            <v>0</v>
          </cell>
          <cell r="L19">
            <v>4</v>
          </cell>
          <cell r="M19">
            <v>4</v>
          </cell>
          <cell r="N19">
            <v>8.42</v>
          </cell>
          <cell r="O19">
            <v>100.88</v>
          </cell>
          <cell r="P19">
            <v>34.615000000000002</v>
          </cell>
          <cell r="Q19">
            <v>7.75</v>
          </cell>
          <cell r="R19">
            <v>7.67</v>
          </cell>
          <cell r="S19">
            <v>7.58</v>
          </cell>
          <cell r="T19">
            <v>7.67</v>
          </cell>
          <cell r="U19">
            <v>7.83</v>
          </cell>
          <cell r="V19">
            <v>7.83</v>
          </cell>
          <cell r="X19">
            <v>7.58</v>
          </cell>
          <cell r="Y19">
            <v>7.75</v>
          </cell>
          <cell r="Z19">
            <v>7.62</v>
          </cell>
          <cell r="AA19">
            <v>7.68</v>
          </cell>
          <cell r="AB19">
            <v>7.63</v>
          </cell>
          <cell r="AC19">
            <v>7.72</v>
          </cell>
          <cell r="AE19">
            <v>7.72</v>
          </cell>
          <cell r="AF19">
            <v>7.68</v>
          </cell>
          <cell r="AG19">
            <v>7.75</v>
          </cell>
          <cell r="AH19">
            <v>7.53</v>
          </cell>
          <cell r="AI19">
            <v>7.45</v>
          </cell>
          <cell r="AJ19">
            <v>7.63</v>
          </cell>
          <cell r="AL19">
            <v>7.63</v>
          </cell>
          <cell r="AM19">
            <v>7.62</v>
          </cell>
          <cell r="AN19">
            <v>7.68</v>
          </cell>
          <cell r="AO19">
            <v>7.57</v>
          </cell>
          <cell r="AP19">
            <v>7.47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W19">
            <v>2.78</v>
          </cell>
          <cell r="AX19">
            <v>1.55</v>
          </cell>
          <cell r="AY19">
            <v>2.5</v>
          </cell>
          <cell r="AZ19">
            <v>3.45</v>
          </cell>
          <cell r="BA19">
            <v>3.45</v>
          </cell>
          <cell r="BB19">
            <v>5.27</v>
          </cell>
          <cell r="BC19">
            <v>5</v>
          </cell>
          <cell r="BD19">
            <v>2.65</v>
          </cell>
          <cell r="BE19">
            <v>2.35</v>
          </cell>
          <cell r="BF19">
            <v>2.77</v>
          </cell>
          <cell r="BG19">
            <v>5.45</v>
          </cell>
          <cell r="BH19">
            <v>4.07</v>
          </cell>
          <cell r="BI19">
            <v>2.77</v>
          </cell>
          <cell r="BJ19">
            <v>5.0199999999999996</v>
          </cell>
          <cell r="BK19">
            <v>2.77</v>
          </cell>
          <cell r="BL19">
            <v>5.73</v>
          </cell>
          <cell r="BM19">
            <v>4.5</v>
          </cell>
          <cell r="BN19">
            <v>3.45</v>
          </cell>
          <cell r="BO19">
            <v>3.13</v>
          </cell>
          <cell r="BP19">
            <v>1.07</v>
          </cell>
          <cell r="BQ19">
            <v>6.53</v>
          </cell>
          <cell r="BR19">
            <v>2.67</v>
          </cell>
          <cell r="BS19">
            <v>5.03</v>
          </cell>
          <cell r="BT19">
            <v>6.92</v>
          </cell>
          <cell r="BU19">
            <v>5</v>
          </cell>
          <cell r="BV19">
            <v>5</v>
          </cell>
          <cell r="CZ19">
            <v>3.15</v>
          </cell>
          <cell r="DA19">
            <v>5.27</v>
          </cell>
          <cell r="DI19">
            <v>0</v>
          </cell>
        </row>
        <row r="20">
          <cell r="C20" t="str">
            <v>Nguyễn Thị Minh Thoa</v>
          </cell>
          <cell r="D20">
            <v>23.88</v>
          </cell>
          <cell r="E20">
            <v>1</v>
          </cell>
          <cell r="F20">
            <v>0</v>
          </cell>
          <cell r="H20">
            <v>0</v>
          </cell>
          <cell r="I20">
            <v>6.64</v>
          </cell>
          <cell r="J20">
            <v>0</v>
          </cell>
          <cell r="K20">
            <v>0</v>
          </cell>
          <cell r="L20">
            <v>2</v>
          </cell>
          <cell r="M20">
            <v>1</v>
          </cell>
          <cell r="N20">
            <v>0</v>
          </cell>
          <cell r="O20">
            <v>53.12</v>
          </cell>
          <cell r="P20">
            <v>30.52</v>
          </cell>
          <cell r="Q20">
            <v>8</v>
          </cell>
          <cell r="R20">
            <v>8</v>
          </cell>
          <cell r="S20">
            <v>8</v>
          </cell>
          <cell r="T20">
            <v>8</v>
          </cell>
          <cell r="U20">
            <v>8</v>
          </cell>
          <cell r="V20">
            <v>8</v>
          </cell>
          <cell r="X20">
            <v>8</v>
          </cell>
          <cell r="Y20">
            <v>8</v>
          </cell>
          <cell r="Z20">
            <v>8</v>
          </cell>
          <cell r="AA20">
            <v>8</v>
          </cell>
          <cell r="AB20">
            <v>8</v>
          </cell>
          <cell r="AC20" t="str">
            <v>P</v>
          </cell>
          <cell r="AE20">
            <v>8</v>
          </cell>
          <cell r="AF20">
            <v>7.52</v>
          </cell>
          <cell r="AG20">
            <v>7.52</v>
          </cell>
          <cell r="AH20">
            <v>8</v>
          </cell>
          <cell r="AI20">
            <v>8</v>
          </cell>
          <cell r="AJ20">
            <v>8</v>
          </cell>
          <cell r="AL20">
            <v>8</v>
          </cell>
          <cell r="AM20">
            <v>8</v>
          </cell>
          <cell r="AN20">
            <v>8</v>
          </cell>
          <cell r="AO20">
            <v>8</v>
          </cell>
          <cell r="AP20">
            <v>8</v>
          </cell>
          <cell r="AS20">
            <v>8</v>
          </cell>
          <cell r="AT20">
            <v>8</v>
          </cell>
          <cell r="AX20">
            <v>0.5</v>
          </cell>
          <cell r="BB20">
            <v>5.48</v>
          </cell>
          <cell r="BC20">
            <v>6.08</v>
          </cell>
          <cell r="BD20">
            <v>1.82</v>
          </cell>
          <cell r="BE20">
            <v>3.43</v>
          </cell>
          <cell r="BG20">
            <v>4.93</v>
          </cell>
          <cell r="BL20">
            <v>3.48</v>
          </cell>
          <cell r="BM20">
            <v>4.45</v>
          </cell>
          <cell r="BN20">
            <v>3.58</v>
          </cell>
          <cell r="BO20">
            <v>3.02</v>
          </cell>
          <cell r="BP20">
            <v>3.48</v>
          </cell>
          <cell r="BT20">
            <v>4.03</v>
          </cell>
          <cell r="BU20">
            <v>6.22</v>
          </cell>
          <cell r="BV20">
            <v>2.62</v>
          </cell>
          <cell r="DI20">
            <v>0</v>
          </cell>
        </row>
        <row r="21">
          <cell r="C21" t="str">
            <v>Vũ Thị Loan</v>
          </cell>
          <cell r="D21">
            <v>24.585000000000001</v>
          </cell>
          <cell r="E21">
            <v>0</v>
          </cell>
          <cell r="F21">
            <v>0</v>
          </cell>
          <cell r="H21">
            <v>0</v>
          </cell>
          <cell r="I21">
            <v>3.6112500000000001</v>
          </cell>
          <cell r="J21">
            <v>0</v>
          </cell>
          <cell r="K21">
            <v>0</v>
          </cell>
          <cell r="L21">
            <v>3</v>
          </cell>
          <cell r="M21">
            <v>3</v>
          </cell>
          <cell r="N21">
            <v>0</v>
          </cell>
          <cell r="O21">
            <v>28.89</v>
          </cell>
          <cell r="P21">
            <v>28.196249999999999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7.83</v>
          </cell>
          <cell r="X21">
            <v>8</v>
          </cell>
          <cell r="Y21">
            <v>8</v>
          </cell>
          <cell r="Z21">
            <v>8</v>
          </cell>
          <cell r="AA21">
            <v>8</v>
          </cell>
          <cell r="AB21">
            <v>7.47</v>
          </cell>
          <cell r="AC21">
            <v>7.43</v>
          </cell>
          <cell r="AE21">
            <v>7.68</v>
          </cell>
          <cell r="AF21">
            <v>7.48</v>
          </cell>
          <cell r="AG21">
            <v>7.55</v>
          </cell>
          <cell r="AH21">
            <v>7.8</v>
          </cell>
          <cell r="AI21">
            <v>7.98</v>
          </cell>
          <cell r="AJ21">
            <v>7.32</v>
          </cell>
          <cell r="AL21">
            <v>6.93</v>
          </cell>
          <cell r="AM21">
            <v>7.12</v>
          </cell>
          <cell r="AN21">
            <v>6.97</v>
          </cell>
          <cell r="AO21">
            <v>7</v>
          </cell>
          <cell r="AP21">
            <v>6.95</v>
          </cell>
          <cell r="AQ21">
            <v>6.68</v>
          </cell>
          <cell r="AS21">
            <v>7.37</v>
          </cell>
          <cell r="AT21">
            <v>7.12</v>
          </cell>
          <cell r="BI21">
            <v>2.33</v>
          </cell>
          <cell r="BO21">
            <v>3.02</v>
          </cell>
          <cell r="BP21">
            <v>3.45</v>
          </cell>
          <cell r="BQ21">
            <v>5.17</v>
          </cell>
          <cell r="BT21">
            <v>3.42</v>
          </cell>
          <cell r="BU21">
            <v>5.08</v>
          </cell>
          <cell r="BV21">
            <v>6.42</v>
          </cell>
          <cell r="DI21">
            <v>0</v>
          </cell>
        </row>
        <row r="22">
          <cell r="C22" t="str">
            <v>Trần Thị Tú Anh</v>
          </cell>
          <cell r="D22">
            <v>22.662500000000001</v>
          </cell>
          <cell r="E22">
            <v>3</v>
          </cell>
          <cell r="F22">
            <v>0</v>
          </cell>
          <cell r="H22">
            <v>0</v>
          </cell>
          <cell r="I22">
            <v>6.1550000000000002</v>
          </cell>
          <cell r="J22">
            <v>0.72250000000000003</v>
          </cell>
          <cell r="K22">
            <v>0</v>
          </cell>
          <cell r="L22">
            <v>5</v>
          </cell>
          <cell r="M22">
            <v>2</v>
          </cell>
          <cell r="N22">
            <v>5.78</v>
          </cell>
          <cell r="O22">
            <v>49.24</v>
          </cell>
          <cell r="P22">
            <v>28.817499999999999</v>
          </cell>
          <cell r="Q22">
            <v>8</v>
          </cell>
          <cell r="R22">
            <v>6</v>
          </cell>
          <cell r="S22" t="str">
            <v>P</v>
          </cell>
          <cell r="T22" t="str">
            <v>P</v>
          </cell>
          <cell r="U22" t="str">
            <v>P</v>
          </cell>
          <cell r="V22">
            <v>8</v>
          </cell>
          <cell r="X22">
            <v>8</v>
          </cell>
          <cell r="Y22">
            <v>8</v>
          </cell>
          <cell r="Z22">
            <v>8</v>
          </cell>
          <cell r="AA22">
            <v>8</v>
          </cell>
          <cell r="AB22">
            <v>8</v>
          </cell>
          <cell r="AC22">
            <v>8</v>
          </cell>
          <cell r="AE22">
            <v>8</v>
          </cell>
          <cell r="AF22">
            <v>8</v>
          </cell>
          <cell r="AG22">
            <v>8</v>
          </cell>
          <cell r="AH22">
            <v>8</v>
          </cell>
          <cell r="AI22">
            <v>8</v>
          </cell>
          <cell r="AJ22">
            <v>7.3</v>
          </cell>
          <cell r="AL22">
            <v>8</v>
          </cell>
          <cell r="AM22">
            <v>8</v>
          </cell>
          <cell r="AN22">
            <v>8</v>
          </cell>
          <cell r="AO22">
            <v>8</v>
          </cell>
          <cell r="AP22">
            <v>8</v>
          </cell>
          <cell r="AQ22">
            <v>8</v>
          </cell>
          <cell r="AS22">
            <v>8</v>
          </cell>
          <cell r="AT22">
            <v>8</v>
          </cell>
          <cell r="BB22">
            <v>2.8</v>
          </cell>
          <cell r="BD22">
            <v>1.35</v>
          </cell>
          <cell r="BF22">
            <v>3.47</v>
          </cell>
          <cell r="BG22">
            <v>3.47</v>
          </cell>
          <cell r="BH22">
            <v>2.73</v>
          </cell>
          <cell r="BM22">
            <v>1.98</v>
          </cell>
          <cell r="BN22">
            <v>3.47</v>
          </cell>
          <cell r="BO22">
            <v>3.47</v>
          </cell>
          <cell r="BQ22">
            <v>10.33</v>
          </cell>
          <cell r="BT22">
            <v>4.5199999999999996</v>
          </cell>
          <cell r="BU22">
            <v>2.88</v>
          </cell>
          <cell r="BV22">
            <v>4.2699999999999996</v>
          </cell>
          <cell r="BW22">
            <v>4.5</v>
          </cell>
          <cell r="CZ22">
            <v>5.78</v>
          </cell>
          <cell r="DI22">
            <v>0</v>
          </cell>
        </row>
        <row r="23">
          <cell r="C23" t="str">
            <v>Lê Thị Hà</v>
          </cell>
          <cell r="D23">
            <v>24.5</v>
          </cell>
          <cell r="E23">
            <v>1</v>
          </cell>
          <cell r="F23">
            <v>0</v>
          </cell>
          <cell r="H23">
            <v>0</v>
          </cell>
          <cell r="I23">
            <v>0.96750000000000003</v>
          </cell>
          <cell r="J23">
            <v>0</v>
          </cell>
          <cell r="K23">
            <v>0</v>
          </cell>
          <cell r="L23">
            <v>5</v>
          </cell>
          <cell r="M23">
            <v>4</v>
          </cell>
          <cell r="N23">
            <v>0</v>
          </cell>
          <cell r="O23">
            <v>7.74</v>
          </cell>
          <cell r="P23">
            <v>25.467500000000001</v>
          </cell>
          <cell r="Q23">
            <v>8</v>
          </cell>
          <cell r="R23">
            <v>8</v>
          </cell>
          <cell r="S23">
            <v>8</v>
          </cell>
          <cell r="T23">
            <v>8</v>
          </cell>
          <cell r="U23">
            <v>8</v>
          </cell>
          <cell r="V23">
            <v>8</v>
          </cell>
          <cell r="X23">
            <v>8</v>
          </cell>
          <cell r="Y23">
            <v>8</v>
          </cell>
          <cell r="Z23">
            <v>8</v>
          </cell>
          <cell r="AA23" t="str">
            <v>P</v>
          </cell>
          <cell r="AB23">
            <v>8</v>
          </cell>
          <cell r="AC23">
            <v>8</v>
          </cell>
          <cell r="AE23">
            <v>8</v>
          </cell>
          <cell r="AF23">
            <v>8</v>
          </cell>
          <cell r="AG23">
            <v>8</v>
          </cell>
          <cell r="AH23">
            <v>8</v>
          </cell>
          <cell r="AI23">
            <v>8</v>
          </cell>
          <cell r="AJ23">
            <v>4</v>
          </cell>
          <cell r="AL23">
            <v>8</v>
          </cell>
          <cell r="AM23">
            <v>8</v>
          </cell>
          <cell r="AN23">
            <v>8</v>
          </cell>
          <cell r="AO23">
            <v>8</v>
          </cell>
          <cell r="AP23">
            <v>8</v>
          </cell>
          <cell r="AQ23">
            <v>8</v>
          </cell>
          <cell r="AS23">
            <v>8</v>
          </cell>
          <cell r="AT23">
            <v>8</v>
          </cell>
          <cell r="BJ23">
            <v>3.1</v>
          </cell>
          <cell r="BU23">
            <v>3.02</v>
          </cell>
          <cell r="BV23">
            <v>1.62</v>
          </cell>
          <cell r="DI23">
            <v>0</v>
          </cell>
        </row>
        <row r="24">
          <cell r="C24" t="str">
            <v>Phạm Mai Hoàng Oanh</v>
          </cell>
          <cell r="D24">
            <v>21.92</v>
          </cell>
          <cell r="E24">
            <v>0</v>
          </cell>
          <cell r="F24">
            <v>0</v>
          </cell>
          <cell r="H24">
            <v>0</v>
          </cell>
          <cell r="I24">
            <v>10.77125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86.17</v>
          </cell>
          <cell r="P24">
            <v>32.691249999999997</v>
          </cell>
          <cell r="Q24">
            <v>8</v>
          </cell>
          <cell r="R24">
            <v>8</v>
          </cell>
          <cell r="S24">
            <v>8</v>
          </cell>
          <cell r="T24">
            <v>8</v>
          </cell>
          <cell r="U24">
            <v>8</v>
          </cell>
          <cell r="V24">
            <v>8</v>
          </cell>
          <cell r="X24">
            <v>8</v>
          </cell>
          <cell r="Y24">
            <v>8</v>
          </cell>
          <cell r="Z24">
            <v>6.12</v>
          </cell>
          <cell r="AA24">
            <v>8</v>
          </cell>
          <cell r="AB24">
            <v>8</v>
          </cell>
          <cell r="AC24">
            <v>8</v>
          </cell>
          <cell r="AE24">
            <v>7.63</v>
          </cell>
          <cell r="AF24">
            <v>8</v>
          </cell>
          <cell r="AG24">
            <v>8</v>
          </cell>
          <cell r="AH24">
            <v>5.6</v>
          </cell>
          <cell r="AI24">
            <v>7.5</v>
          </cell>
          <cell r="AJ24">
            <v>8</v>
          </cell>
          <cell r="AL24">
            <v>7.12</v>
          </cell>
          <cell r="AM24">
            <v>6.87</v>
          </cell>
          <cell r="AN24">
            <v>7.2</v>
          </cell>
          <cell r="AO24">
            <v>7.32</v>
          </cell>
          <cell r="AP24">
            <v>8</v>
          </cell>
          <cell r="AX24">
            <v>2.1</v>
          </cell>
          <cell r="AY24">
            <v>3.35</v>
          </cell>
          <cell r="AZ24">
            <v>3.45</v>
          </cell>
          <cell r="BB24">
            <v>3.42</v>
          </cell>
          <cell r="BC24">
            <v>9.92</v>
          </cell>
          <cell r="BE24">
            <v>3.43</v>
          </cell>
          <cell r="BG24">
            <v>3.42</v>
          </cell>
          <cell r="BH24">
            <v>3.45</v>
          </cell>
          <cell r="BJ24">
            <v>6.93</v>
          </cell>
          <cell r="BL24">
            <v>3.43</v>
          </cell>
          <cell r="BM24">
            <v>3.22</v>
          </cell>
          <cell r="BO24">
            <v>3.42</v>
          </cell>
          <cell r="BP24">
            <v>3.43</v>
          </cell>
          <cell r="BQ24">
            <v>10.5</v>
          </cell>
          <cell r="BR24">
            <v>1.53</v>
          </cell>
          <cell r="BS24">
            <v>3.47</v>
          </cell>
          <cell r="BT24">
            <v>4.5999999999999996</v>
          </cell>
          <cell r="BU24">
            <v>8.1</v>
          </cell>
          <cell r="BV24">
            <v>5</v>
          </cell>
          <cell r="DI24">
            <v>0</v>
          </cell>
        </row>
        <row r="25">
          <cell r="C25" t="str">
            <v>Nguyễn A Khương</v>
          </cell>
          <cell r="D25">
            <v>25.787500000000001</v>
          </cell>
          <cell r="E25">
            <v>0</v>
          </cell>
          <cell r="F25">
            <v>0</v>
          </cell>
          <cell r="H25">
            <v>0</v>
          </cell>
          <cell r="I25">
            <v>0.28499999999999998</v>
          </cell>
          <cell r="J25">
            <v>0</v>
          </cell>
          <cell r="K25">
            <v>0</v>
          </cell>
          <cell r="L25">
            <v>6</v>
          </cell>
          <cell r="M25">
            <v>6</v>
          </cell>
          <cell r="N25">
            <v>0</v>
          </cell>
          <cell r="O25">
            <v>2.2799999999999998</v>
          </cell>
          <cell r="P25">
            <v>26.072500000000002</v>
          </cell>
          <cell r="Q25">
            <v>8</v>
          </cell>
          <cell r="R25">
            <v>7.58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X25">
            <v>8</v>
          </cell>
          <cell r="Y25">
            <v>8</v>
          </cell>
          <cell r="Z25">
            <v>7.72</v>
          </cell>
          <cell r="AA25">
            <v>8</v>
          </cell>
          <cell r="AB25">
            <v>8</v>
          </cell>
          <cell r="AC25">
            <v>8</v>
          </cell>
          <cell r="AE25">
            <v>7.75</v>
          </cell>
          <cell r="AF25">
            <v>8</v>
          </cell>
          <cell r="AG25">
            <v>7.73</v>
          </cell>
          <cell r="AH25">
            <v>7.6</v>
          </cell>
          <cell r="AI25">
            <v>8</v>
          </cell>
          <cell r="AJ25">
            <v>8</v>
          </cell>
          <cell r="AL25">
            <v>8</v>
          </cell>
          <cell r="AM25">
            <v>8</v>
          </cell>
          <cell r="AN25">
            <v>8</v>
          </cell>
          <cell r="AO25">
            <v>7.92</v>
          </cell>
          <cell r="AP25">
            <v>8</v>
          </cell>
          <cell r="AQ25">
            <v>8</v>
          </cell>
          <cell r="AS25">
            <v>8</v>
          </cell>
          <cell r="AT25">
            <v>8</v>
          </cell>
          <cell r="BV25">
            <v>2.2799999999999998</v>
          </cell>
          <cell r="DI25">
            <v>0</v>
          </cell>
        </row>
        <row r="26">
          <cell r="C26" t="str">
            <v>Du Kim Hân</v>
          </cell>
          <cell r="D26">
            <v>24.74</v>
          </cell>
          <cell r="E26">
            <v>1</v>
          </cell>
          <cell r="F26">
            <v>0</v>
          </cell>
          <cell r="H26">
            <v>0</v>
          </cell>
          <cell r="I26">
            <v>1.33375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10.67</v>
          </cell>
          <cell r="P26">
            <v>26.07375</v>
          </cell>
          <cell r="Q26">
            <v>8</v>
          </cell>
          <cell r="R26">
            <v>8</v>
          </cell>
          <cell r="S26" t="str">
            <v>P</v>
          </cell>
          <cell r="T26">
            <v>8</v>
          </cell>
          <cell r="U26">
            <v>7.92</v>
          </cell>
          <cell r="V26">
            <v>8</v>
          </cell>
          <cell r="X26">
            <v>7.83</v>
          </cell>
          <cell r="Y26">
            <v>8</v>
          </cell>
          <cell r="Z26">
            <v>7.8</v>
          </cell>
          <cell r="AA26">
            <v>7.83</v>
          </cell>
          <cell r="AB26">
            <v>8</v>
          </cell>
          <cell r="AC26">
            <v>7.92</v>
          </cell>
          <cell r="AE26">
            <v>7.73</v>
          </cell>
          <cell r="AF26">
            <v>7.82</v>
          </cell>
          <cell r="AG26">
            <v>8</v>
          </cell>
          <cell r="AH26">
            <v>7.72</v>
          </cell>
          <cell r="AI26">
            <v>8</v>
          </cell>
          <cell r="AJ26">
            <v>8</v>
          </cell>
          <cell r="AL26">
            <v>7.83</v>
          </cell>
          <cell r="AM26">
            <v>7.8</v>
          </cell>
          <cell r="AN26">
            <v>8</v>
          </cell>
          <cell r="AO26">
            <v>7.8</v>
          </cell>
          <cell r="AP26">
            <v>7.92</v>
          </cell>
          <cell r="AQ26">
            <v>8</v>
          </cell>
          <cell r="AS26">
            <v>8</v>
          </cell>
          <cell r="AT26">
            <v>8</v>
          </cell>
          <cell r="BH26">
            <v>2.67</v>
          </cell>
          <cell r="BN26">
            <v>2.2200000000000002</v>
          </cell>
          <cell r="BT26">
            <v>1.1299999999999999</v>
          </cell>
          <cell r="BU26">
            <v>3.02</v>
          </cell>
          <cell r="BV26">
            <v>1.63</v>
          </cell>
          <cell r="DI26">
            <v>0</v>
          </cell>
        </row>
        <row r="27">
          <cell r="C27" t="str">
            <v>Đặng Thu Sương</v>
          </cell>
          <cell r="D27">
            <v>25.98</v>
          </cell>
          <cell r="E27">
            <v>0</v>
          </cell>
          <cell r="F27">
            <v>0</v>
          </cell>
          <cell r="H27">
            <v>0</v>
          </cell>
          <cell r="I27">
            <v>1.3362499999999999</v>
          </cell>
          <cell r="J27">
            <v>0</v>
          </cell>
          <cell r="K27">
            <v>0</v>
          </cell>
          <cell r="L27">
            <v>1</v>
          </cell>
          <cell r="M27">
            <v>1</v>
          </cell>
          <cell r="N27">
            <v>0</v>
          </cell>
          <cell r="O27">
            <v>10.69</v>
          </cell>
          <cell r="P27">
            <v>27.31625</v>
          </cell>
          <cell r="Q27">
            <v>8</v>
          </cell>
          <cell r="R27">
            <v>8</v>
          </cell>
          <cell r="S27">
            <v>8</v>
          </cell>
          <cell r="T27">
            <v>8</v>
          </cell>
          <cell r="U27">
            <v>8</v>
          </cell>
          <cell r="V27">
            <v>8</v>
          </cell>
          <cell r="X27">
            <v>8</v>
          </cell>
          <cell r="Y27">
            <v>7.92</v>
          </cell>
          <cell r="Z27">
            <v>8</v>
          </cell>
          <cell r="AA27">
            <v>8</v>
          </cell>
          <cell r="AB27">
            <v>8</v>
          </cell>
          <cell r="AC27">
            <v>8</v>
          </cell>
          <cell r="AE27">
            <v>8</v>
          </cell>
          <cell r="AF27">
            <v>8</v>
          </cell>
          <cell r="AG27">
            <v>8</v>
          </cell>
          <cell r="AH27">
            <v>8</v>
          </cell>
          <cell r="AI27">
            <v>7.92</v>
          </cell>
          <cell r="AJ27">
            <v>8</v>
          </cell>
          <cell r="AL27">
            <v>8</v>
          </cell>
          <cell r="AM27">
            <v>8</v>
          </cell>
          <cell r="AN27">
            <v>8</v>
          </cell>
          <cell r="AO27">
            <v>8</v>
          </cell>
          <cell r="AP27">
            <v>8</v>
          </cell>
          <cell r="AQ27">
            <v>8</v>
          </cell>
          <cell r="AS27">
            <v>8</v>
          </cell>
          <cell r="AT27">
            <v>8</v>
          </cell>
          <cell r="BH27">
            <v>2.68</v>
          </cell>
          <cell r="BN27">
            <v>2.2200000000000002</v>
          </cell>
          <cell r="BT27">
            <v>1.1299999999999999</v>
          </cell>
          <cell r="BU27">
            <v>3.03</v>
          </cell>
          <cell r="BV27">
            <v>1.63</v>
          </cell>
          <cell r="DI27">
            <v>0</v>
          </cell>
        </row>
        <row r="28">
          <cell r="C28" t="str">
            <v xml:space="preserve">Ngô Hồng Thắm </v>
          </cell>
          <cell r="D28">
            <v>25</v>
          </cell>
          <cell r="E28">
            <v>0</v>
          </cell>
          <cell r="F28">
            <v>0</v>
          </cell>
          <cell r="H28">
            <v>0</v>
          </cell>
          <cell r="I28">
            <v>2.4562499999999998</v>
          </cell>
          <cell r="J28">
            <v>0</v>
          </cell>
          <cell r="K28">
            <v>0</v>
          </cell>
          <cell r="L28">
            <v>4</v>
          </cell>
          <cell r="M28">
            <v>4</v>
          </cell>
          <cell r="N28">
            <v>0</v>
          </cell>
          <cell r="O28">
            <v>19.649999999999999</v>
          </cell>
          <cell r="P28">
            <v>27.456250000000001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8</v>
          </cell>
          <cell r="V28">
            <v>8</v>
          </cell>
          <cell r="X28">
            <v>8</v>
          </cell>
          <cell r="Y28">
            <v>8</v>
          </cell>
          <cell r="Z28">
            <v>8</v>
          </cell>
          <cell r="AA28">
            <v>8</v>
          </cell>
          <cell r="AB28">
            <v>8</v>
          </cell>
          <cell r="AC28">
            <v>8</v>
          </cell>
          <cell r="AE28">
            <v>8</v>
          </cell>
          <cell r="AF28">
            <v>8</v>
          </cell>
          <cell r="AG28">
            <v>8</v>
          </cell>
          <cell r="AH28">
            <v>8</v>
          </cell>
          <cell r="AI28">
            <v>8</v>
          </cell>
          <cell r="AL28">
            <v>8</v>
          </cell>
          <cell r="AM28">
            <v>8</v>
          </cell>
          <cell r="AN28">
            <v>8</v>
          </cell>
          <cell r="AO28">
            <v>8</v>
          </cell>
          <cell r="AP28">
            <v>8</v>
          </cell>
          <cell r="AQ28">
            <v>8</v>
          </cell>
          <cell r="AS28">
            <v>8</v>
          </cell>
          <cell r="AT28">
            <v>8</v>
          </cell>
          <cell r="BI28">
            <v>2</v>
          </cell>
          <cell r="BJ28">
            <v>2.65</v>
          </cell>
          <cell r="BM28">
            <v>2.5</v>
          </cell>
          <cell r="BN28">
            <v>2.5</v>
          </cell>
          <cell r="BR28">
            <v>2.5</v>
          </cell>
          <cell r="BS28">
            <v>2.5</v>
          </cell>
          <cell r="BT28">
            <v>2</v>
          </cell>
          <cell r="BV28">
            <v>1.98</v>
          </cell>
          <cell r="BW28">
            <v>1.02</v>
          </cell>
          <cell r="DI28">
            <v>0</v>
          </cell>
        </row>
        <row r="29">
          <cell r="C29" t="str">
            <v>Nguyễn Ngọc Bích</v>
          </cell>
          <cell r="D29">
            <v>23.642499999999998</v>
          </cell>
          <cell r="E29">
            <v>0</v>
          </cell>
          <cell r="F29">
            <v>0</v>
          </cell>
          <cell r="H29">
            <v>0</v>
          </cell>
          <cell r="I29">
            <v>3.7349999999999999</v>
          </cell>
          <cell r="J29">
            <v>0</v>
          </cell>
          <cell r="K29">
            <v>0</v>
          </cell>
          <cell r="L29">
            <v>3</v>
          </cell>
          <cell r="M29">
            <v>3</v>
          </cell>
          <cell r="N29">
            <v>0</v>
          </cell>
          <cell r="O29">
            <v>29.88</v>
          </cell>
          <cell r="P29">
            <v>27.377500000000001</v>
          </cell>
          <cell r="Q29">
            <v>7.83</v>
          </cell>
          <cell r="R29">
            <v>7.58</v>
          </cell>
          <cell r="S29">
            <v>3.58</v>
          </cell>
          <cell r="T29">
            <v>8</v>
          </cell>
          <cell r="U29">
            <v>7.83</v>
          </cell>
          <cell r="V29">
            <v>7.67</v>
          </cell>
          <cell r="Y29">
            <v>7.75</v>
          </cell>
          <cell r="Z29">
            <v>8</v>
          </cell>
          <cell r="AA29">
            <v>7.65</v>
          </cell>
          <cell r="AB29">
            <v>8</v>
          </cell>
          <cell r="AC29">
            <v>7.78</v>
          </cell>
          <cell r="AE29">
            <v>8</v>
          </cell>
          <cell r="AF29">
            <v>7.78</v>
          </cell>
          <cell r="AG29">
            <v>7.68</v>
          </cell>
          <cell r="AH29">
            <v>7.63</v>
          </cell>
          <cell r="AI29">
            <v>7.7</v>
          </cell>
          <cell r="AJ29">
            <v>8</v>
          </cell>
          <cell r="AL29">
            <v>7.72</v>
          </cell>
          <cell r="AM29">
            <v>6</v>
          </cell>
          <cell r="AN29">
            <v>7.82</v>
          </cell>
          <cell r="AO29">
            <v>8</v>
          </cell>
          <cell r="AP29">
            <v>7.8</v>
          </cell>
          <cell r="AQ29">
            <v>7.92</v>
          </cell>
          <cell r="AS29">
            <v>7.65</v>
          </cell>
          <cell r="AT29">
            <v>7.77</v>
          </cell>
          <cell r="AX29">
            <v>1.65</v>
          </cell>
          <cell r="BA29">
            <v>0.8</v>
          </cell>
          <cell r="BG29">
            <v>1.18</v>
          </cell>
          <cell r="BI29">
            <v>2.25</v>
          </cell>
          <cell r="BJ29">
            <v>1.52</v>
          </cell>
          <cell r="BL29">
            <v>2.8</v>
          </cell>
          <cell r="BM29">
            <v>0.32</v>
          </cell>
          <cell r="BN29">
            <v>0.6</v>
          </cell>
          <cell r="BR29">
            <v>2.33</v>
          </cell>
          <cell r="BS29">
            <v>3.18</v>
          </cell>
          <cell r="BT29">
            <v>2.6</v>
          </cell>
          <cell r="BU29">
            <v>4</v>
          </cell>
          <cell r="BV29">
            <v>4.55</v>
          </cell>
          <cell r="BW29">
            <v>2.1</v>
          </cell>
          <cell r="DI29">
            <v>0</v>
          </cell>
        </row>
        <row r="30">
          <cell r="C30" t="str">
            <v>Cao Ngân Giang</v>
          </cell>
          <cell r="D30">
            <v>25.803750000000001</v>
          </cell>
          <cell r="E30">
            <v>0</v>
          </cell>
          <cell r="F30">
            <v>0</v>
          </cell>
          <cell r="H30">
            <v>0</v>
          </cell>
          <cell r="I30">
            <v>5.125</v>
          </cell>
          <cell r="J30">
            <v>0.57874999999999999</v>
          </cell>
          <cell r="K30">
            <v>0</v>
          </cell>
          <cell r="L30">
            <v>6</v>
          </cell>
          <cell r="M30">
            <v>6</v>
          </cell>
          <cell r="N30">
            <v>4.63</v>
          </cell>
          <cell r="O30">
            <v>41</v>
          </cell>
          <cell r="P30">
            <v>30.928750000000001</v>
          </cell>
          <cell r="Q30">
            <v>8</v>
          </cell>
          <cell r="R30">
            <v>8</v>
          </cell>
          <cell r="S30">
            <v>7.92</v>
          </cell>
          <cell r="T30">
            <v>8</v>
          </cell>
          <cell r="U30">
            <v>8</v>
          </cell>
          <cell r="V30">
            <v>8</v>
          </cell>
          <cell r="X30">
            <v>8</v>
          </cell>
          <cell r="Y30">
            <v>8</v>
          </cell>
          <cell r="Z30">
            <v>8</v>
          </cell>
          <cell r="AA30">
            <v>8</v>
          </cell>
          <cell r="AB30">
            <v>8</v>
          </cell>
          <cell r="AC30">
            <v>8</v>
          </cell>
          <cell r="AE30">
            <v>8</v>
          </cell>
          <cell r="AF30">
            <v>8</v>
          </cell>
          <cell r="AG30">
            <v>8</v>
          </cell>
          <cell r="AH30">
            <v>8</v>
          </cell>
          <cell r="AI30">
            <v>8</v>
          </cell>
          <cell r="AJ30">
            <v>8</v>
          </cell>
          <cell r="AL30">
            <v>8</v>
          </cell>
          <cell r="AM30">
            <v>7.78</v>
          </cell>
          <cell r="AN30">
            <v>8</v>
          </cell>
          <cell r="AO30">
            <v>8</v>
          </cell>
          <cell r="AP30">
            <v>6.93</v>
          </cell>
          <cell r="AQ30">
            <v>8</v>
          </cell>
          <cell r="AS30">
            <v>7.8</v>
          </cell>
          <cell r="AT30">
            <v>8</v>
          </cell>
          <cell r="AY30">
            <v>0.53</v>
          </cell>
          <cell r="BA30">
            <v>0.6</v>
          </cell>
          <cell r="BI30">
            <v>1.67</v>
          </cell>
          <cell r="BL30">
            <v>3.05</v>
          </cell>
          <cell r="BM30">
            <v>2.58</v>
          </cell>
          <cell r="BO30">
            <v>3.02</v>
          </cell>
          <cell r="BP30">
            <v>1.03</v>
          </cell>
          <cell r="BQ30">
            <v>9.15</v>
          </cell>
          <cell r="BS30">
            <v>2.52</v>
          </cell>
          <cell r="BT30">
            <v>4.0199999999999996</v>
          </cell>
          <cell r="BU30">
            <v>6.15</v>
          </cell>
          <cell r="BV30">
            <v>5.5</v>
          </cell>
          <cell r="BW30">
            <v>1.18</v>
          </cell>
          <cell r="DA30">
            <v>4.63</v>
          </cell>
          <cell r="DI30">
            <v>0</v>
          </cell>
        </row>
        <row r="31">
          <cell r="C31" t="str">
            <v>Lê Các Anh</v>
          </cell>
          <cell r="D31">
            <v>21.44875</v>
          </cell>
          <cell r="E31">
            <v>0</v>
          </cell>
          <cell r="F31">
            <v>0</v>
          </cell>
          <cell r="H31">
            <v>0</v>
          </cell>
          <cell r="I31">
            <v>2.06</v>
          </cell>
          <cell r="J31">
            <v>0</v>
          </cell>
          <cell r="K31">
            <v>0</v>
          </cell>
          <cell r="L31">
            <v>3</v>
          </cell>
          <cell r="M31">
            <v>3</v>
          </cell>
          <cell r="N31">
            <v>0</v>
          </cell>
          <cell r="O31">
            <v>16.48</v>
          </cell>
          <cell r="P31">
            <v>23.508749999999999</v>
          </cell>
          <cell r="Q31">
            <v>8</v>
          </cell>
          <cell r="R31">
            <v>8</v>
          </cell>
          <cell r="S31">
            <v>8</v>
          </cell>
          <cell r="T31">
            <v>8</v>
          </cell>
          <cell r="U31">
            <v>8</v>
          </cell>
          <cell r="V31">
            <v>8</v>
          </cell>
          <cell r="X31">
            <v>8</v>
          </cell>
          <cell r="Z31">
            <v>8</v>
          </cell>
          <cell r="AA31">
            <v>8</v>
          </cell>
          <cell r="AB31">
            <v>8</v>
          </cell>
          <cell r="AC31">
            <v>8</v>
          </cell>
          <cell r="AE31">
            <v>7.1</v>
          </cell>
          <cell r="AF31">
            <v>7.37</v>
          </cell>
          <cell r="AH31">
            <v>7.52</v>
          </cell>
          <cell r="AL31">
            <v>8</v>
          </cell>
          <cell r="AM31">
            <v>7.52</v>
          </cell>
          <cell r="AN31">
            <v>7.52</v>
          </cell>
          <cell r="AO31">
            <v>7.52</v>
          </cell>
          <cell r="AP31">
            <v>7.52</v>
          </cell>
          <cell r="AQ31">
            <v>8</v>
          </cell>
          <cell r="AS31">
            <v>8</v>
          </cell>
          <cell r="AT31">
            <v>7.52</v>
          </cell>
          <cell r="BJ31">
            <v>6.77</v>
          </cell>
          <cell r="BQ31">
            <v>8.43</v>
          </cell>
          <cell r="BW31">
            <v>1.28</v>
          </cell>
          <cell r="DI31">
            <v>0</v>
          </cell>
        </row>
        <row r="32">
          <cell r="C32" t="str">
            <v>Huỳnh Kim Quí</v>
          </cell>
          <cell r="D32">
            <v>24.5</v>
          </cell>
          <cell r="E32">
            <v>0</v>
          </cell>
          <cell r="F32">
            <v>0</v>
          </cell>
          <cell r="H32">
            <v>0</v>
          </cell>
          <cell r="I32">
            <v>1.3362499999999999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10.69</v>
          </cell>
          <cell r="P32">
            <v>25.83625</v>
          </cell>
          <cell r="Q32">
            <v>8</v>
          </cell>
          <cell r="R32">
            <v>4</v>
          </cell>
          <cell r="S32">
            <v>8</v>
          </cell>
          <cell r="T32">
            <v>8</v>
          </cell>
          <cell r="U32">
            <v>8</v>
          </cell>
          <cell r="V32">
            <v>8</v>
          </cell>
          <cell r="X32">
            <v>8</v>
          </cell>
          <cell r="Y32">
            <v>8</v>
          </cell>
          <cell r="Z32">
            <v>8</v>
          </cell>
          <cell r="AA32">
            <v>8</v>
          </cell>
          <cell r="AB32">
            <v>8</v>
          </cell>
          <cell r="AC32">
            <v>8</v>
          </cell>
          <cell r="AF32">
            <v>8</v>
          </cell>
          <cell r="AG32">
            <v>8</v>
          </cell>
          <cell r="AH32">
            <v>8</v>
          </cell>
          <cell r="AI32">
            <v>8</v>
          </cell>
          <cell r="AJ32">
            <v>8</v>
          </cell>
          <cell r="AL32">
            <v>8</v>
          </cell>
          <cell r="AM32">
            <v>8</v>
          </cell>
          <cell r="AN32">
            <v>8</v>
          </cell>
          <cell r="AO32">
            <v>8</v>
          </cell>
          <cell r="AP32">
            <v>8</v>
          </cell>
          <cell r="AQ32">
            <v>8</v>
          </cell>
          <cell r="AS32">
            <v>8</v>
          </cell>
          <cell r="AT32">
            <v>8</v>
          </cell>
          <cell r="BL32">
            <v>0.5</v>
          </cell>
          <cell r="BR32">
            <v>0.55000000000000004</v>
          </cell>
          <cell r="BT32">
            <v>2</v>
          </cell>
          <cell r="BU32">
            <v>4.58</v>
          </cell>
          <cell r="BV32">
            <v>2.5299999999999998</v>
          </cell>
          <cell r="BW32">
            <v>0.53</v>
          </cell>
          <cell r="DI32">
            <v>0</v>
          </cell>
        </row>
        <row r="33">
          <cell r="C33" t="str">
            <v>Lâm Thị Mỹ Trang</v>
          </cell>
          <cell r="D33">
            <v>24</v>
          </cell>
          <cell r="E33">
            <v>0</v>
          </cell>
          <cell r="F33">
            <v>0</v>
          </cell>
          <cell r="H33">
            <v>0</v>
          </cell>
          <cell r="I33">
            <v>1.26125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10.09</v>
          </cell>
          <cell r="P33">
            <v>25.26125</v>
          </cell>
          <cell r="Q33">
            <v>8</v>
          </cell>
          <cell r="R33">
            <v>8</v>
          </cell>
          <cell r="S33">
            <v>8</v>
          </cell>
          <cell r="T33">
            <v>8</v>
          </cell>
          <cell r="U33">
            <v>8</v>
          </cell>
          <cell r="V33">
            <v>8</v>
          </cell>
          <cell r="X33">
            <v>8</v>
          </cell>
          <cell r="Y33">
            <v>8</v>
          </cell>
          <cell r="Z33">
            <v>8</v>
          </cell>
          <cell r="AB33">
            <v>8</v>
          </cell>
          <cell r="AC33">
            <v>8</v>
          </cell>
          <cell r="AE33">
            <v>8</v>
          </cell>
          <cell r="AF33">
            <v>8</v>
          </cell>
          <cell r="AG33">
            <v>8</v>
          </cell>
          <cell r="AH33">
            <v>8</v>
          </cell>
          <cell r="AI33">
            <v>8</v>
          </cell>
          <cell r="AL33">
            <v>8</v>
          </cell>
          <cell r="AM33">
            <v>8</v>
          </cell>
          <cell r="AN33">
            <v>8</v>
          </cell>
          <cell r="AO33">
            <v>8</v>
          </cell>
          <cell r="AP33">
            <v>8</v>
          </cell>
          <cell r="AQ33">
            <v>8</v>
          </cell>
          <cell r="AS33">
            <v>8</v>
          </cell>
          <cell r="AT33">
            <v>8</v>
          </cell>
          <cell r="BM33">
            <v>2.52</v>
          </cell>
          <cell r="BN33">
            <v>2</v>
          </cell>
          <cell r="BO33">
            <v>2</v>
          </cell>
          <cell r="BT33">
            <v>1</v>
          </cell>
          <cell r="BU33">
            <v>1.07</v>
          </cell>
          <cell r="BV33">
            <v>1.5</v>
          </cell>
          <cell r="DI33">
            <v>0</v>
          </cell>
        </row>
        <row r="34">
          <cell r="C34" t="str">
            <v>Nguyễn Tuyết Nhung</v>
          </cell>
          <cell r="D34">
            <v>25.928750000000001</v>
          </cell>
          <cell r="E34">
            <v>0</v>
          </cell>
          <cell r="F34">
            <v>0</v>
          </cell>
          <cell r="H34">
            <v>0</v>
          </cell>
          <cell r="I34">
            <v>2.1375000000000002</v>
          </cell>
          <cell r="J34">
            <v>0</v>
          </cell>
          <cell r="K34">
            <v>0</v>
          </cell>
          <cell r="L34">
            <v>1</v>
          </cell>
          <cell r="M34">
            <v>1</v>
          </cell>
          <cell r="N34">
            <v>0</v>
          </cell>
          <cell r="O34">
            <v>17.100000000000001</v>
          </cell>
          <cell r="P34">
            <v>28.06625</v>
          </cell>
          <cell r="Q34">
            <v>8</v>
          </cell>
          <cell r="R34">
            <v>8</v>
          </cell>
          <cell r="S34">
            <v>8</v>
          </cell>
          <cell r="T34">
            <v>8</v>
          </cell>
          <cell r="U34">
            <v>8</v>
          </cell>
          <cell r="V34">
            <v>8</v>
          </cell>
          <cell r="X34">
            <v>8</v>
          </cell>
          <cell r="Y34">
            <v>8</v>
          </cell>
          <cell r="Z34">
            <v>8</v>
          </cell>
          <cell r="AA34">
            <v>8</v>
          </cell>
          <cell r="AB34">
            <v>8</v>
          </cell>
          <cell r="AC34">
            <v>8</v>
          </cell>
          <cell r="AE34">
            <v>8</v>
          </cell>
          <cell r="AF34">
            <v>8</v>
          </cell>
          <cell r="AG34">
            <v>8</v>
          </cell>
          <cell r="AH34">
            <v>8</v>
          </cell>
          <cell r="AI34">
            <v>8</v>
          </cell>
          <cell r="AJ34">
            <v>8</v>
          </cell>
          <cell r="AL34">
            <v>8</v>
          </cell>
          <cell r="AM34">
            <v>8</v>
          </cell>
          <cell r="AN34">
            <v>8</v>
          </cell>
          <cell r="AO34">
            <v>8</v>
          </cell>
          <cell r="AP34">
            <v>8</v>
          </cell>
          <cell r="AQ34">
            <v>7.43</v>
          </cell>
          <cell r="AS34">
            <v>8</v>
          </cell>
          <cell r="AT34">
            <v>8</v>
          </cell>
          <cell r="BF34">
            <v>3.02</v>
          </cell>
          <cell r="BG34">
            <v>3.03</v>
          </cell>
          <cell r="BH34">
            <v>3.05</v>
          </cell>
          <cell r="BQ34">
            <v>8</v>
          </cell>
          <cell r="DI34">
            <v>0</v>
          </cell>
        </row>
        <row r="35">
          <cell r="C35" t="str">
            <v>Trần Thị Ngọc Hân</v>
          </cell>
          <cell r="D35">
            <v>23.684999999999999</v>
          </cell>
          <cell r="E35">
            <v>1</v>
          </cell>
          <cell r="F35">
            <v>0</v>
          </cell>
          <cell r="H35">
            <v>0</v>
          </cell>
          <cell r="I35">
            <v>12.71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0</v>
          </cell>
          <cell r="O35">
            <v>101.68</v>
          </cell>
          <cell r="P35">
            <v>36.395000000000003</v>
          </cell>
          <cell r="Q35">
            <v>8</v>
          </cell>
          <cell r="R35">
            <v>8</v>
          </cell>
          <cell r="S35">
            <v>8</v>
          </cell>
          <cell r="T35">
            <v>7.42</v>
          </cell>
          <cell r="U35">
            <v>7.58</v>
          </cell>
          <cell r="V35">
            <v>8</v>
          </cell>
          <cell r="X35">
            <v>7.67</v>
          </cell>
          <cell r="Y35" t="str">
            <v>P</v>
          </cell>
          <cell r="Z35">
            <v>8</v>
          </cell>
          <cell r="AA35">
            <v>8</v>
          </cell>
          <cell r="AB35">
            <v>7.08</v>
          </cell>
          <cell r="AC35">
            <v>6.48</v>
          </cell>
          <cell r="AE35">
            <v>8</v>
          </cell>
          <cell r="AF35">
            <v>7.67</v>
          </cell>
          <cell r="AG35">
            <v>7.62</v>
          </cell>
          <cell r="AH35">
            <v>7.08</v>
          </cell>
          <cell r="AI35">
            <v>7.43</v>
          </cell>
          <cell r="AJ35">
            <v>7.47</v>
          </cell>
          <cell r="AL35">
            <v>6.9</v>
          </cell>
          <cell r="AM35">
            <v>7.75</v>
          </cell>
          <cell r="AN35">
            <v>7.05</v>
          </cell>
          <cell r="AO35">
            <v>7.47</v>
          </cell>
          <cell r="AP35">
            <v>7.13</v>
          </cell>
          <cell r="AQ35">
            <v>8</v>
          </cell>
          <cell r="AS35">
            <v>8</v>
          </cell>
          <cell r="AT35">
            <v>7.68</v>
          </cell>
          <cell r="AX35">
            <v>2.5499999999999998</v>
          </cell>
          <cell r="AY35">
            <v>3.45</v>
          </cell>
          <cell r="AZ35">
            <v>3.45</v>
          </cell>
          <cell r="BB35">
            <v>3.08</v>
          </cell>
          <cell r="BC35">
            <v>9.8000000000000007</v>
          </cell>
          <cell r="BF35">
            <v>3.47</v>
          </cell>
          <cell r="BG35">
            <v>3.47</v>
          </cell>
          <cell r="BH35">
            <v>3.47</v>
          </cell>
          <cell r="BI35">
            <v>2.65</v>
          </cell>
          <cell r="BK35">
            <v>3</v>
          </cell>
          <cell r="BL35">
            <v>3.45</v>
          </cell>
          <cell r="BM35">
            <v>3.43</v>
          </cell>
          <cell r="BN35">
            <v>4.08</v>
          </cell>
          <cell r="BO35">
            <v>4.12</v>
          </cell>
          <cell r="BP35">
            <v>3.45</v>
          </cell>
          <cell r="BQ35">
            <v>9.9499999999999993</v>
          </cell>
          <cell r="BR35">
            <v>4.12</v>
          </cell>
          <cell r="BS35">
            <v>4.5999999999999996</v>
          </cell>
          <cell r="BT35">
            <v>4.5199999999999996</v>
          </cell>
          <cell r="BU35">
            <v>7.3</v>
          </cell>
          <cell r="BV35">
            <v>6.02</v>
          </cell>
          <cell r="BX35">
            <v>8.25</v>
          </cell>
          <cell r="DI35">
            <v>0</v>
          </cell>
        </row>
        <row r="36">
          <cell r="C36" t="str">
            <v>Võ Thị Xuân Dung</v>
          </cell>
          <cell r="D36">
            <v>21.414999999999999</v>
          </cell>
          <cell r="E36">
            <v>0</v>
          </cell>
          <cell r="F36">
            <v>0</v>
          </cell>
          <cell r="H36">
            <v>0</v>
          </cell>
          <cell r="I36">
            <v>8.5087499999999991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68.069999999999993</v>
          </cell>
          <cell r="P36">
            <v>29.923749999999998</v>
          </cell>
          <cell r="Q36">
            <v>7.75</v>
          </cell>
          <cell r="R36">
            <v>7.75</v>
          </cell>
          <cell r="S36">
            <v>8</v>
          </cell>
          <cell r="T36">
            <v>7.75</v>
          </cell>
          <cell r="U36">
            <v>7.67</v>
          </cell>
          <cell r="V36">
            <v>7.33</v>
          </cell>
          <cell r="X36">
            <v>7.5</v>
          </cell>
          <cell r="Y36">
            <v>7.42</v>
          </cell>
          <cell r="Z36">
            <v>7.7</v>
          </cell>
          <cell r="AA36">
            <v>0</v>
          </cell>
          <cell r="AB36">
            <v>0</v>
          </cell>
          <cell r="AC36">
            <v>0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>
            <v>8</v>
          </cell>
          <cell r="AJ36">
            <v>6.45</v>
          </cell>
          <cell r="AL36">
            <v>8</v>
          </cell>
          <cell r="AM36">
            <v>8</v>
          </cell>
          <cell r="AN36">
            <v>8</v>
          </cell>
          <cell r="AO36">
            <v>8</v>
          </cell>
          <cell r="AP36">
            <v>8</v>
          </cell>
          <cell r="AQ36">
            <v>8</v>
          </cell>
          <cell r="AS36">
            <v>0</v>
          </cell>
          <cell r="AT36">
            <v>8</v>
          </cell>
          <cell r="AZ36">
            <v>2.6</v>
          </cell>
          <cell r="BB36">
            <v>3.1</v>
          </cell>
          <cell r="BC36">
            <v>8.3800000000000008</v>
          </cell>
          <cell r="BE36">
            <v>3.17</v>
          </cell>
          <cell r="BF36">
            <v>3.03</v>
          </cell>
          <cell r="BK36">
            <v>3</v>
          </cell>
          <cell r="BL36">
            <v>3.03</v>
          </cell>
          <cell r="BN36">
            <v>3.03</v>
          </cell>
          <cell r="BO36">
            <v>3.02</v>
          </cell>
          <cell r="BP36">
            <v>3.03</v>
          </cell>
          <cell r="BQ36">
            <v>8</v>
          </cell>
          <cell r="BR36">
            <v>3.02</v>
          </cell>
          <cell r="BS36">
            <v>3.02</v>
          </cell>
          <cell r="BT36">
            <v>3.05</v>
          </cell>
          <cell r="BU36">
            <v>3.02</v>
          </cell>
          <cell r="BV36">
            <v>4.57</v>
          </cell>
          <cell r="BX36">
            <v>8</v>
          </cell>
          <cell r="DI36">
            <v>0</v>
          </cell>
        </row>
        <row r="37">
          <cell r="C37" t="str">
            <v>Nguyễn Thị Kim Tiến</v>
          </cell>
          <cell r="D37">
            <v>25.212499999999999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25.212499999999999</v>
          </cell>
          <cell r="Q37">
            <v>6.92</v>
          </cell>
          <cell r="R37">
            <v>8</v>
          </cell>
          <cell r="S37">
            <v>8</v>
          </cell>
          <cell r="T37">
            <v>7.83</v>
          </cell>
          <cell r="U37">
            <v>7.67</v>
          </cell>
          <cell r="V37">
            <v>8</v>
          </cell>
          <cell r="X37">
            <v>5.25</v>
          </cell>
          <cell r="Y37">
            <v>7.83</v>
          </cell>
          <cell r="Z37">
            <v>7.92</v>
          </cell>
          <cell r="AA37">
            <v>8</v>
          </cell>
          <cell r="AB37">
            <v>7.52</v>
          </cell>
          <cell r="AC37">
            <v>8</v>
          </cell>
          <cell r="AE37">
            <v>7.73</v>
          </cell>
          <cell r="AF37">
            <v>8</v>
          </cell>
          <cell r="AG37">
            <v>8</v>
          </cell>
          <cell r="AH37">
            <v>8</v>
          </cell>
          <cell r="AI37">
            <v>8</v>
          </cell>
          <cell r="AJ37">
            <v>8</v>
          </cell>
          <cell r="AL37">
            <v>8</v>
          </cell>
          <cell r="AM37">
            <v>8</v>
          </cell>
          <cell r="AN37">
            <v>8</v>
          </cell>
          <cell r="AO37">
            <v>7.83</v>
          </cell>
          <cell r="AP37">
            <v>7.78</v>
          </cell>
          <cell r="AQ37">
            <v>8</v>
          </cell>
          <cell r="AS37">
            <v>7.62</v>
          </cell>
          <cell r="AT37">
            <v>7.8</v>
          </cell>
          <cell r="DI37">
            <v>0</v>
          </cell>
        </row>
        <row r="38">
          <cell r="C38" t="str">
            <v>Huỳnh Thị Phụng</v>
          </cell>
          <cell r="D38">
            <v>17.864999999999998</v>
          </cell>
          <cell r="E38">
            <v>0</v>
          </cell>
          <cell r="F38">
            <v>0</v>
          </cell>
          <cell r="H38">
            <v>0</v>
          </cell>
          <cell r="I38">
            <v>0.30249999999999999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2.42</v>
          </cell>
          <cell r="P38">
            <v>18.1675</v>
          </cell>
          <cell r="Q38">
            <v>0</v>
          </cell>
          <cell r="R38">
            <v>8</v>
          </cell>
          <cell r="S38">
            <v>8</v>
          </cell>
          <cell r="T38">
            <v>7.83</v>
          </cell>
          <cell r="U38">
            <v>8</v>
          </cell>
          <cell r="V38">
            <v>8</v>
          </cell>
          <cell r="X38">
            <v>7.92</v>
          </cell>
          <cell r="Y38">
            <v>7.58</v>
          </cell>
          <cell r="Z38">
            <v>8</v>
          </cell>
          <cell r="AI38">
            <v>7.77</v>
          </cell>
          <cell r="AJ38">
            <v>7.82</v>
          </cell>
          <cell r="AL38">
            <v>8</v>
          </cell>
          <cell r="AM38">
            <v>8</v>
          </cell>
          <cell r="AN38">
            <v>8</v>
          </cell>
          <cell r="AO38">
            <v>8</v>
          </cell>
          <cell r="AP38">
            <v>8</v>
          </cell>
          <cell r="AQ38">
            <v>8</v>
          </cell>
          <cell r="AS38">
            <v>8</v>
          </cell>
          <cell r="AT38">
            <v>8</v>
          </cell>
          <cell r="BU38">
            <v>2.42</v>
          </cell>
          <cell r="DI38">
            <v>0</v>
          </cell>
        </row>
        <row r="39">
          <cell r="C39" t="str">
            <v>Nguyễn Thị Thanh Thuý</v>
          </cell>
          <cell r="D39">
            <v>25.5</v>
          </cell>
          <cell r="E39">
            <v>0</v>
          </cell>
          <cell r="F39">
            <v>0</v>
          </cell>
          <cell r="H39">
            <v>0</v>
          </cell>
          <cell r="I39">
            <v>3.5787499999999999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28.63</v>
          </cell>
          <cell r="P39">
            <v>29.078749999999999</v>
          </cell>
          <cell r="Q39">
            <v>8</v>
          </cell>
          <cell r="R39">
            <v>8</v>
          </cell>
          <cell r="S39">
            <v>8</v>
          </cell>
          <cell r="T39">
            <v>8</v>
          </cell>
          <cell r="U39">
            <v>8</v>
          </cell>
          <cell r="V39">
            <v>8</v>
          </cell>
          <cell r="X39">
            <v>8</v>
          </cell>
          <cell r="Y39">
            <v>8</v>
          </cell>
          <cell r="Z39">
            <v>8</v>
          </cell>
          <cell r="AA39">
            <v>8</v>
          </cell>
          <cell r="AB39">
            <v>8</v>
          </cell>
          <cell r="AC39">
            <v>8</v>
          </cell>
          <cell r="AE39">
            <v>8</v>
          </cell>
          <cell r="AF39">
            <v>8</v>
          </cell>
          <cell r="AG39">
            <v>8</v>
          </cell>
          <cell r="AH39">
            <v>4</v>
          </cell>
          <cell r="AI39">
            <v>8</v>
          </cell>
          <cell r="AJ39">
            <v>8</v>
          </cell>
          <cell r="AL39">
            <v>8</v>
          </cell>
          <cell r="AM39">
            <v>8</v>
          </cell>
          <cell r="AN39">
            <v>8</v>
          </cell>
          <cell r="AO39">
            <v>8</v>
          </cell>
          <cell r="AP39">
            <v>8</v>
          </cell>
          <cell r="AQ39">
            <v>8</v>
          </cell>
          <cell r="AS39">
            <v>8</v>
          </cell>
          <cell r="AT39">
            <v>8</v>
          </cell>
          <cell r="BG39">
            <v>3.95</v>
          </cell>
          <cell r="BP39">
            <v>3.95</v>
          </cell>
          <cell r="BQ39">
            <v>7.05</v>
          </cell>
          <cell r="BT39">
            <v>4.5199999999999996</v>
          </cell>
          <cell r="BU39">
            <v>4.58</v>
          </cell>
          <cell r="BV39">
            <v>4.58</v>
          </cell>
          <cell r="DI39">
            <v>0</v>
          </cell>
        </row>
        <row r="40">
          <cell r="C40" t="str">
            <v>Lương Thị Phước Vinh</v>
          </cell>
          <cell r="D40">
            <v>25.60125</v>
          </cell>
          <cell r="E40">
            <v>0</v>
          </cell>
          <cell r="F40">
            <v>0</v>
          </cell>
          <cell r="H40">
            <v>0</v>
          </cell>
          <cell r="I40">
            <v>1.0874999999999999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8.6999999999999993</v>
          </cell>
          <cell r="P40">
            <v>26.688749999999999</v>
          </cell>
          <cell r="Q40">
            <v>8</v>
          </cell>
          <cell r="R40">
            <v>8</v>
          </cell>
          <cell r="S40">
            <v>7.83</v>
          </cell>
          <cell r="T40">
            <v>8</v>
          </cell>
          <cell r="U40">
            <v>8</v>
          </cell>
          <cell r="V40">
            <v>8</v>
          </cell>
          <cell r="X40">
            <v>5.83</v>
          </cell>
          <cell r="Y40">
            <v>8</v>
          </cell>
          <cell r="Z40">
            <v>8</v>
          </cell>
          <cell r="AA40">
            <v>7.82</v>
          </cell>
          <cell r="AB40">
            <v>8</v>
          </cell>
          <cell r="AC40">
            <v>8</v>
          </cell>
          <cell r="AE40">
            <v>8</v>
          </cell>
          <cell r="AF40">
            <v>8</v>
          </cell>
          <cell r="AG40">
            <v>8</v>
          </cell>
          <cell r="AH40">
            <v>7.78</v>
          </cell>
          <cell r="AI40">
            <v>8</v>
          </cell>
          <cell r="AJ40">
            <v>8</v>
          </cell>
          <cell r="AL40">
            <v>8</v>
          </cell>
          <cell r="AM40">
            <v>8</v>
          </cell>
          <cell r="AN40">
            <v>8</v>
          </cell>
          <cell r="AO40">
            <v>8</v>
          </cell>
          <cell r="AP40">
            <v>7.78</v>
          </cell>
          <cell r="AQ40">
            <v>8</v>
          </cell>
          <cell r="AS40">
            <v>8</v>
          </cell>
          <cell r="AT40">
            <v>7.77</v>
          </cell>
          <cell r="BQ40">
            <v>8</v>
          </cell>
          <cell r="BV40">
            <v>0.7</v>
          </cell>
          <cell r="DI40">
            <v>0</v>
          </cell>
        </row>
        <row r="41">
          <cell r="C41" t="str">
            <v xml:space="preserve">Trần Thị Thắm </v>
          </cell>
          <cell r="D41">
            <v>26</v>
          </cell>
          <cell r="E41">
            <v>0</v>
          </cell>
          <cell r="F41">
            <v>0</v>
          </cell>
          <cell r="H41">
            <v>0</v>
          </cell>
          <cell r="I41">
            <v>3.9175</v>
          </cell>
          <cell r="J41">
            <v>0.57750000000000001</v>
          </cell>
          <cell r="K41">
            <v>0</v>
          </cell>
          <cell r="M41">
            <v>0</v>
          </cell>
          <cell r="N41">
            <v>4.62</v>
          </cell>
          <cell r="O41">
            <v>31.34</v>
          </cell>
          <cell r="P41">
            <v>29.9175</v>
          </cell>
          <cell r="Q41">
            <v>8</v>
          </cell>
          <cell r="R41">
            <v>8</v>
          </cell>
          <cell r="S41">
            <v>8</v>
          </cell>
          <cell r="T41">
            <v>8</v>
          </cell>
          <cell r="U41">
            <v>8</v>
          </cell>
          <cell r="V41">
            <v>8</v>
          </cell>
          <cell r="X41">
            <v>8</v>
          </cell>
          <cell r="Y41">
            <v>8</v>
          </cell>
          <cell r="Z41">
            <v>8</v>
          </cell>
          <cell r="AA41">
            <v>8</v>
          </cell>
          <cell r="AB41">
            <v>8</v>
          </cell>
          <cell r="AC41">
            <v>8</v>
          </cell>
          <cell r="AE41">
            <v>8</v>
          </cell>
          <cell r="AF41">
            <v>8</v>
          </cell>
          <cell r="AG41">
            <v>8</v>
          </cell>
          <cell r="AH41">
            <v>8</v>
          </cell>
          <cell r="AI41">
            <v>8</v>
          </cell>
          <cell r="AJ41">
            <v>8</v>
          </cell>
          <cell r="AL41">
            <v>8</v>
          </cell>
          <cell r="AM41">
            <v>8</v>
          </cell>
          <cell r="AN41">
            <v>8</v>
          </cell>
          <cell r="AO41">
            <v>8</v>
          </cell>
          <cell r="AP41">
            <v>8</v>
          </cell>
          <cell r="AQ41">
            <v>8</v>
          </cell>
          <cell r="AS41">
            <v>8</v>
          </cell>
          <cell r="AT41">
            <v>8</v>
          </cell>
          <cell r="BJ41">
            <v>5.35</v>
          </cell>
          <cell r="BL41">
            <v>3.08</v>
          </cell>
          <cell r="BP41">
            <v>0.56999999999999995</v>
          </cell>
          <cell r="BQ41">
            <v>8</v>
          </cell>
          <cell r="BS41">
            <v>3.08</v>
          </cell>
          <cell r="BT41">
            <v>0.55000000000000004</v>
          </cell>
          <cell r="BU41">
            <v>4.68</v>
          </cell>
          <cell r="BV41">
            <v>5</v>
          </cell>
          <cell r="BW41">
            <v>1.03</v>
          </cell>
          <cell r="DA41">
            <v>4.62</v>
          </cell>
          <cell r="DI41">
            <v>0</v>
          </cell>
        </row>
        <row r="42">
          <cell r="C42" t="str">
            <v>Cao Như Quỳnh</v>
          </cell>
          <cell r="D42">
            <v>25.736249999999998</v>
          </cell>
          <cell r="E42">
            <v>0</v>
          </cell>
          <cell r="F42">
            <v>0</v>
          </cell>
          <cell r="H42">
            <v>0</v>
          </cell>
          <cell r="I42">
            <v>5.8587499999999997</v>
          </cell>
          <cell r="J42">
            <v>0.57750000000000001</v>
          </cell>
          <cell r="K42">
            <v>0</v>
          </cell>
          <cell r="M42">
            <v>0</v>
          </cell>
          <cell r="N42">
            <v>4.62</v>
          </cell>
          <cell r="O42">
            <v>46.87</v>
          </cell>
          <cell r="P42">
            <v>31.594999999999999</v>
          </cell>
          <cell r="Q42">
            <v>8</v>
          </cell>
          <cell r="R42">
            <v>8</v>
          </cell>
          <cell r="S42">
            <v>7.92</v>
          </cell>
          <cell r="T42">
            <v>8</v>
          </cell>
          <cell r="U42">
            <v>8</v>
          </cell>
          <cell r="V42">
            <v>8</v>
          </cell>
          <cell r="X42">
            <v>8</v>
          </cell>
          <cell r="Y42">
            <v>8</v>
          </cell>
          <cell r="Z42">
            <v>8</v>
          </cell>
          <cell r="AA42">
            <v>8</v>
          </cell>
          <cell r="AB42">
            <v>8</v>
          </cell>
          <cell r="AC42">
            <v>8</v>
          </cell>
          <cell r="AE42">
            <v>8</v>
          </cell>
          <cell r="AF42">
            <v>8</v>
          </cell>
          <cell r="AG42">
            <v>8</v>
          </cell>
          <cell r="AH42">
            <v>8</v>
          </cell>
          <cell r="AI42">
            <v>7.22</v>
          </cell>
          <cell r="AJ42">
            <v>8</v>
          </cell>
          <cell r="AL42">
            <v>8</v>
          </cell>
          <cell r="AM42">
            <v>8</v>
          </cell>
          <cell r="AN42">
            <v>8</v>
          </cell>
          <cell r="AO42">
            <v>8</v>
          </cell>
          <cell r="AP42">
            <v>6.93</v>
          </cell>
          <cell r="AQ42">
            <v>8</v>
          </cell>
          <cell r="AS42">
            <v>7.82</v>
          </cell>
          <cell r="AT42">
            <v>8</v>
          </cell>
          <cell r="AY42">
            <v>0.53</v>
          </cell>
          <cell r="BA42">
            <v>0.52</v>
          </cell>
          <cell r="BI42">
            <v>1.67</v>
          </cell>
          <cell r="BJ42">
            <v>5.57</v>
          </cell>
          <cell r="BL42">
            <v>3.02</v>
          </cell>
          <cell r="BM42">
            <v>2.6</v>
          </cell>
          <cell r="BO42">
            <v>3</v>
          </cell>
          <cell r="BP42">
            <v>1.05</v>
          </cell>
          <cell r="BQ42">
            <v>9.17</v>
          </cell>
          <cell r="BS42">
            <v>2.5299999999999998</v>
          </cell>
          <cell r="BT42">
            <v>4.08</v>
          </cell>
          <cell r="BU42">
            <v>6.63</v>
          </cell>
          <cell r="BV42">
            <v>5.5</v>
          </cell>
          <cell r="BW42">
            <v>1</v>
          </cell>
          <cell r="DA42">
            <v>4.62</v>
          </cell>
          <cell r="DI42">
            <v>0</v>
          </cell>
        </row>
        <row r="43">
          <cell r="C43" t="str">
            <v>Ngô Diệu Thùy Khanh</v>
          </cell>
          <cell r="D43">
            <v>25</v>
          </cell>
          <cell r="E43">
            <v>0</v>
          </cell>
          <cell r="F43">
            <v>0</v>
          </cell>
          <cell r="H43">
            <v>0</v>
          </cell>
          <cell r="I43">
            <v>2.9787499999999998</v>
          </cell>
          <cell r="J43">
            <v>0</v>
          </cell>
          <cell r="K43">
            <v>0</v>
          </cell>
          <cell r="M43">
            <v>0</v>
          </cell>
          <cell r="N43">
            <v>0</v>
          </cell>
          <cell r="O43">
            <v>23.83</v>
          </cell>
          <cell r="P43">
            <v>27.978750000000002</v>
          </cell>
          <cell r="Q43">
            <v>8</v>
          </cell>
          <cell r="R43">
            <v>8</v>
          </cell>
          <cell r="S43">
            <v>8</v>
          </cell>
          <cell r="T43">
            <v>8</v>
          </cell>
          <cell r="U43">
            <v>8</v>
          </cell>
          <cell r="V43">
            <v>8</v>
          </cell>
          <cell r="X43">
            <v>8</v>
          </cell>
          <cell r="Y43">
            <v>8</v>
          </cell>
          <cell r="Z43">
            <v>8</v>
          </cell>
          <cell r="AA43">
            <v>8</v>
          </cell>
          <cell r="AB43">
            <v>8</v>
          </cell>
          <cell r="AC43">
            <v>8</v>
          </cell>
          <cell r="AE43">
            <v>8</v>
          </cell>
          <cell r="AF43">
            <v>8</v>
          </cell>
          <cell r="AG43">
            <v>8</v>
          </cell>
          <cell r="AH43">
            <v>8</v>
          </cell>
          <cell r="AI43">
            <v>8</v>
          </cell>
          <cell r="AJ43">
            <v>0</v>
          </cell>
          <cell r="AL43">
            <v>8</v>
          </cell>
          <cell r="AM43">
            <v>8</v>
          </cell>
          <cell r="AN43">
            <v>8</v>
          </cell>
          <cell r="AO43">
            <v>8</v>
          </cell>
          <cell r="AP43">
            <v>8</v>
          </cell>
          <cell r="AQ43">
            <v>8</v>
          </cell>
          <cell r="AS43">
            <v>8</v>
          </cell>
          <cell r="AT43">
            <v>8</v>
          </cell>
          <cell r="BF43">
            <v>3.02</v>
          </cell>
          <cell r="BG43">
            <v>3.03</v>
          </cell>
          <cell r="BH43">
            <v>3.05</v>
          </cell>
          <cell r="BN43">
            <v>3.03</v>
          </cell>
          <cell r="BO43">
            <v>3.02</v>
          </cell>
          <cell r="BR43">
            <v>2.63</v>
          </cell>
          <cell r="BS43">
            <v>3.03</v>
          </cell>
          <cell r="BU43">
            <v>3.02</v>
          </cell>
          <cell r="DI43">
            <v>0</v>
          </cell>
        </row>
        <row r="44">
          <cell r="C44" t="str">
            <v>Ngô Thị Hồng Điệp</v>
          </cell>
          <cell r="D44">
            <v>25.708749999999998</v>
          </cell>
          <cell r="E44">
            <v>0</v>
          </cell>
          <cell r="F44">
            <v>0</v>
          </cell>
          <cell r="H44">
            <v>0</v>
          </cell>
          <cell r="I44">
            <v>11.0025</v>
          </cell>
          <cell r="J44">
            <v>0</v>
          </cell>
          <cell r="K44">
            <v>0</v>
          </cell>
          <cell r="M44">
            <v>0</v>
          </cell>
          <cell r="N44">
            <v>0</v>
          </cell>
          <cell r="O44">
            <v>88.02</v>
          </cell>
          <cell r="P44">
            <v>36.71125</v>
          </cell>
          <cell r="Q44">
            <v>8</v>
          </cell>
          <cell r="R44">
            <v>8</v>
          </cell>
          <cell r="S44">
            <v>7.5</v>
          </cell>
          <cell r="T44">
            <v>8</v>
          </cell>
          <cell r="U44">
            <v>8</v>
          </cell>
          <cell r="V44">
            <v>8</v>
          </cell>
          <cell r="X44">
            <v>8</v>
          </cell>
          <cell r="Y44">
            <v>8</v>
          </cell>
          <cell r="Z44">
            <v>8</v>
          </cell>
          <cell r="AA44">
            <v>8</v>
          </cell>
          <cell r="AB44">
            <v>8</v>
          </cell>
          <cell r="AC44">
            <v>8</v>
          </cell>
          <cell r="AE44">
            <v>8</v>
          </cell>
          <cell r="AF44">
            <v>7.2</v>
          </cell>
          <cell r="AG44">
            <v>8</v>
          </cell>
          <cell r="AH44">
            <v>8</v>
          </cell>
          <cell r="AI44">
            <v>8</v>
          </cell>
          <cell r="AJ44">
            <v>8</v>
          </cell>
          <cell r="AL44">
            <v>8</v>
          </cell>
          <cell r="AM44">
            <v>8</v>
          </cell>
          <cell r="AN44">
            <v>8</v>
          </cell>
          <cell r="AO44">
            <v>8</v>
          </cell>
          <cell r="AP44">
            <v>7.72</v>
          </cell>
          <cell r="AQ44">
            <v>8</v>
          </cell>
          <cell r="AS44">
            <v>8</v>
          </cell>
          <cell r="AT44">
            <v>7.25</v>
          </cell>
          <cell r="AW44">
            <v>2.02</v>
          </cell>
          <cell r="AX44">
            <v>3.17</v>
          </cell>
          <cell r="AY44">
            <v>2.5</v>
          </cell>
          <cell r="AZ44">
            <v>2.6</v>
          </cell>
          <cell r="BA44">
            <v>3.45</v>
          </cell>
          <cell r="BB44">
            <v>5.0199999999999996</v>
          </cell>
          <cell r="BD44">
            <v>2.57</v>
          </cell>
          <cell r="BE44">
            <v>2.0699999999999998</v>
          </cell>
          <cell r="BF44">
            <v>0.45</v>
          </cell>
          <cell r="BG44">
            <v>3.02</v>
          </cell>
          <cell r="BH44">
            <v>3.2</v>
          </cell>
          <cell r="BI44">
            <v>2.62</v>
          </cell>
          <cell r="BJ44">
            <v>2.2200000000000002</v>
          </cell>
          <cell r="BK44">
            <v>2.12</v>
          </cell>
          <cell r="BL44">
            <v>3.45</v>
          </cell>
          <cell r="BM44">
            <v>5.03</v>
          </cell>
          <cell r="BN44">
            <v>2.5</v>
          </cell>
          <cell r="BO44">
            <v>0.5</v>
          </cell>
          <cell r="BQ44">
            <v>2.58</v>
          </cell>
          <cell r="BR44">
            <v>2.13</v>
          </cell>
          <cell r="BS44">
            <v>3.12</v>
          </cell>
          <cell r="BT44">
            <v>5.58</v>
          </cell>
          <cell r="BU44">
            <v>6.82</v>
          </cell>
          <cell r="BV44">
            <v>7</v>
          </cell>
          <cell r="BW44">
            <v>5.52</v>
          </cell>
          <cell r="BX44">
            <v>2.93</v>
          </cell>
          <cell r="BY44">
            <v>1.63</v>
          </cell>
          <cell r="BZ44">
            <v>2.2000000000000002</v>
          </cell>
          <cell r="DI44">
            <v>0</v>
          </cell>
        </row>
        <row r="45">
          <cell r="C45" t="str">
            <v xml:space="preserve">Võ Thị Phương Thảo </v>
          </cell>
          <cell r="D45">
            <v>25</v>
          </cell>
          <cell r="E45">
            <v>0</v>
          </cell>
          <cell r="F45">
            <v>0</v>
          </cell>
          <cell r="H45">
            <v>0</v>
          </cell>
          <cell r="I45">
            <v>2.4325000000000001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19.46</v>
          </cell>
          <cell r="P45">
            <v>27.432500000000001</v>
          </cell>
          <cell r="R45">
            <v>8</v>
          </cell>
          <cell r="S45">
            <v>8</v>
          </cell>
          <cell r="T45">
            <v>8</v>
          </cell>
          <cell r="U45">
            <v>8</v>
          </cell>
          <cell r="V45">
            <v>8</v>
          </cell>
          <cell r="X45">
            <v>8</v>
          </cell>
          <cell r="Y45">
            <v>8</v>
          </cell>
          <cell r="Z45">
            <v>8</v>
          </cell>
          <cell r="AA45">
            <v>8</v>
          </cell>
          <cell r="AB45">
            <v>8</v>
          </cell>
          <cell r="AC45">
            <v>8</v>
          </cell>
          <cell r="AE45">
            <v>8</v>
          </cell>
          <cell r="AF45">
            <v>8</v>
          </cell>
          <cell r="AG45">
            <v>8</v>
          </cell>
          <cell r="AH45">
            <v>8</v>
          </cell>
          <cell r="AI45">
            <v>8</v>
          </cell>
          <cell r="AJ45">
            <v>8</v>
          </cell>
          <cell r="AL45">
            <v>8</v>
          </cell>
          <cell r="AM45">
            <v>8</v>
          </cell>
          <cell r="AN45">
            <v>8</v>
          </cell>
          <cell r="AO45">
            <v>8</v>
          </cell>
          <cell r="AP45">
            <v>8</v>
          </cell>
          <cell r="AQ45">
            <v>8</v>
          </cell>
          <cell r="AS45">
            <v>8</v>
          </cell>
          <cell r="AT45">
            <v>8</v>
          </cell>
          <cell r="BL45">
            <v>0.55000000000000004</v>
          </cell>
          <cell r="BM45">
            <v>3.15</v>
          </cell>
          <cell r="BP45">
            <v>1.5</v>
          </cell>
          <cell r="BS45">
            <v>1.08</v>
          </cell>
          <cell r="BT45">
            <v>3.45</v>
          </cell>
          <cell r="BU45">
            <v>4</v>
          </cell>
          <cell r="BV45">
            <v>4.58</v>
          </cell>
          <cell r="BW45">
            <v>1.1499999999999999</v>
          </cell>
          <cell r="DI45">
            <v>0</v>
          </cell>
        </row>
        <row r="46">
          <cell r="C46" t="str">
            <v>Võ Thị Hoà</v>
          </cell>
          <cell r="D46">
            <v>23.63625</v>
          </cell>
          <cell r="E46">
            <v>0</v>
          </cell>
          <cell r="F46">
            <v>0</v>
          </cell>
          <cell r="H46">
            <v>0</v>
          </cell>
          <cell r="I46">
            <v>13.623749999999999</v>
          </cell>
          <cell r="J46">
            <v>1</v>
          </cell>
          <cell r="K46">
            <v>0</v>
          </cell>
          <cell r="L46">
            <v>1</v>
          </cell>
          <cell r="M46">
            <v>1</v>
          </cell>
          <cell r="N46">
            <v>8</v>
          </cell>
          <cell r="O46">
            <v>108.99</v>
          </cell>
          <cell r="P46">
            <v>37.26</v>
          </cell>
          <cell r="Q46">
            <v>8</v>
          </cell>
          <cell r="R46">
            <v>6.25</v>
          </cell>
          <cell r="S46">
            <v>7.67</v>
          </cell>
          <cell r="T46">
            <v>7.42</v>
          </cell>
          <cell r="U46">
            <v>6.9</v>
          </cell>
          <cell r="V46">
            <v>6.9</v>
          </cell>
          <cell r="X46">
            <v>8</v>
          </cell>
          <cell r="Y46">
            <v>7.38</v>
          </cell>
          <cell r="Z46">
            <v>7.52</v>
          </cell>
          <cell r="AA46">
            <v>6.92</v>
          </cell>
          <cell r="AB46">
            <v>6.65</v>
          </cell>
          <cell r="AC46">
            <v>6.88</v>
          </cell>
          <cell r="AE46">
            <v>7.48</v>
          </cell>
          <cell r="AF46">
            <v>5.72</v>
          </cell>
          <cell r="AG46">
            <v>6.95</v>
          </cell>
          <cell r="AH46">
            <v>7.55</v>
          </cell>
          <cell r="AI46">
            <v>7.02</v>
          </cell>
          <cell r="AJ46">
            <v>8</v>
          </cell>
          <cell r="AL46">
            <v>7.32</v>
          </cell>
          <cell r="AM46">
            <v>7.78</v>
          </cell>
          <cell r="AN46">
            <v>7.63</v>
          </cell>
          <cell r="AO46">
            <v>7.17</v>
          </cell>
          <cell r="AP46">
            <v>8</v>
          </cell>
          <cell r="AQ46">
            <v>7.33</v>
          </cell>
          <cell r="AS46">
            <v>8</v>
          </cell>
          <cell r="AT46">
            <v>6.65</v>
          </cell>
          <cell r="AW46">
            <v>3.45</v>
          </cell>
          <cell r="AY46">
            <v>4.22</v>
          </cell>
          <cell r="AZ46">
            <v>3.8</v>
          </cell>
          <cell r="BA46">
            <v>3.45</v>
          </cell>
          <cell r="BB46">
            <v>6.28</v>
          </cell>
          <cell r="BD46">
            <v>3.9</v>
          </cell>
          <cell r="BE46">
            <v>4.93</v>
          </cell>
          <cell r="BF46">
            <v>5.25</v>
          </cell>
          <cell r="BG46">
            <v>4.83</v>
          </cell>
          <cell r="BH46">
            <v>3.32</v>
          </cell>
          <cell r="BI46">
            <v>4.92</v>
          </cell>
          <cell r="BK46">
            <v>4.38</v>
          </cell>
          <cell r="BL46">
            <v>5.55</v>
          </cell>
          <cell r="BM46">
            <v>4.5999999999999996</v>
          </cell>
          <cell r="BN46">
            <v>4.28</v>
          </cell>
          <cell r="BO46">
            <v>5.55</v>
          </cell>
          <cell r="BP46">
            <v>4.55</v>
          </cell>
          <cell r="BR46">
            <v>4.88</v>
          </cell>
          <cell r="BS46">
            <v>4.4000000000000004</v>
          </cell>
          <cell r="BT46">
            <v>5.22</v>
          </cell>
          <cell r="BU46">
            <v>5</v>
          </cell>
          <cell r="BV46">
            <v>3.3</v>
          </cell>
          <cell r="BW46">
            <v>1.7</v>
          </cell>
          <cell r="BY46">
            <v>2.58</v>
          </cell>
          <cell r="BZ46">
            <v>4.6500000000000004</v>
          </cell>
          <cell r="CZ46">
            <v>8</v>
          </cell>
          <cell r="DI46">
            <v>0</v>
          </cell>
        </row>
        <row r="47">
          <cell r="C47" t="str">
            <v>Nguyễn Đỗ Tường Vy</v>
          </cell>
          <cell r="D47">
            <v>26</v>
          </cell>
          <cell r="E47">
            <v>0</v>
          </cell>
          <cell r="F47">
            <v>0</v>
          </cell>
          <cell r="H47">
            <v>0</v>
          </cell>
          <cell r="I47">
            <v>5.2387499999999996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41.91</v>
          </cell>
          <cell r="P47">
            <v>31.23875</v>
          </cell>
          <cell r="Q47">
            <v>8</v>
          </cell>
          <cell r="R47">
            <v>8</v>
          </cell>
          <cell r="S47">
            <v>8</v>
          </cell>
          <cell r="T47">
            <v>8</v>
          </cell>
          <cell r="U47">
            <v>8</v>
          </cell>
          <cell r="V47">
            <v>8</v>
          </cell>
          <cell r="X47">
            <v>8</v>
          </cell>
          <cell r="Y47">
            <v>8</v>
          </cell>
          <cell r="Z47">
            <v>8</v>
          </cell>
          <cell r="AA47">
            <v>8</v>
          </cell>
          <cell r="AB47">
            <v>8</v>
          </cell>
          <cell r="AC47">
            <v>8</v>
          </cell>
          <cell r="AE47">
            <v>8</v>
          </cell>
          <cell r="AF47">
            <v>8</v>
          </cell>
          <cell r="AG47">
            <v>8</v>
          </cell>
          <cell r="AH47">
            <v>8</v>
          </cell>
          <cell r="AI47">
            <v>8</v>
          </cell>
          <cell r="AJ47">
            <v>8</v>
          </cell>
          <cell r="AL47">
            <v>8</v>
          </cell>
          <cell r="AM47">
            <v>8</v>
          </cell>
          <cell r="AN47">
            <v>8</v>
          </cell>
          <cell r="AO47">
            <v>8</v>
          </cell>
          <cell r="AP47">
            <v>8</v>
          </cell>
          <cell r="AQ47">
            <v>8</v>
          </cell>
          <cell r="AS47">
            <v>8</v>
          </cell>
          <cell r="AT47">
            <v>8</v>
          </cell>
          <cell r="AW47">
            <v>0.63</v>
          </cell>
          <cell r="AX47">
            <v>0.62</v>
          </cell>
          <cell r="BF47">
            <v>3.05</v>
          </cell>
          <cell r="BG47">
            <v>3.05</v>
          </cell>
          <cell r="BH47">
            <v>3.07</v>
          </cell>
          <cell r="BI47">
            <v>3.08</v>
          </cell>
          <cell r="BJ47">
            <v>3</v>
          </cell>
          <cell r="BQ47">
            <v>4.38</v>
          </cell>
          <cell r="BR47">
            <v>2.63</v>
          </cell>
          <cell r="BS47">
            <v>3.03</v>
          </cell>
          <cell r="BT47">
            <v>3.1</v>
          </cell>
          <cell r="BU47">
            <v>3.12</v>
          </cell>
          <cell r="BV47">
            <v>4.62</v>
          </cell>
          <cell r="BW47">
            <v>4.53</v>
          </cell>
          <cell r="DI47">
            <v>0</v>
          </cell>
        </row>
        <row r="48">
          <cell r="C48" t="str">
            <v>Hoàng Thị Thu Hà</v>
          </cell>
          <cell r="D48">
            <v>25.035</v>
          </cell>
          <cell r="E48">
            <v>0</v>
          </cell>
          <cell r="F48">
            <v>0</v>
          </cell>
          <cell r="H48">
            <v>0</v>
          </cell>
          <cell r="I48">
            <v>8.0262499999999992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64.209999999999994</v>
          </cell>
          <cell r="P48">
            <v>33.061250000000001</v>
          </cell>
          <cell r="Q48">
            <v>8</v>
          </cell>
          <cell r="R48">
            <v>2.08</v>
          </cell>
          <cell r="S48">
            <v>8</v>
          </cell>
          <cell r="T48">
            <v>8</v>
          </cell>
          <cell r="U48">
            <v>8</v>
          </cell>
          <cell r="V48">
            <v>8</v>
          </cell>
          <cell r="X48">
            <v>8</v>
          </cell>
          <cell r="Y48">
            <v>8</v>
          </cell>
          <cell r="Z48">
            <v>8</v>
          </cell>
          <cell r="AA48">
            <v>8</v>
          </cell>
          <cell r="AB48">
            <v>8</v>
          </cell>
          <cell r="AC48">
            <v>8</v>
          </cell>
          <cell r="AE48">
            <v>6.2</v>
          </cell>
          <cell r="AF48">
            <v>8</v>
          </cell>
          <cell r="AG48">
            <v>8</v>
          </cell>
          <cell r="AH48">
            <v>8</v>
          </cell>
          <cell r="AI48">
            <v>8</v>
          </cell>
          <cell r="AJ48">
            <v>8</v>
          </cell>
          <cell r="AL48">
            <v>8</v>
          </cell>
          <cell r="AM48">
            <v>8</v>
          </cell>
          <cell r="AN48">
            <v>8</v>
          </cell>
          <cell r="AO48">
            <v>8</v>
          </cell>
          <cell r="AP48">
            <v>8</v>
          </cell>
          <cell r="AQ48">
            <v>8</v>
          </cell>
          <cell r="AS48">
            <v>8</v>
          </cell>
          <cell r="AT48">
            <v>8</v>
          </cell>
          <cell r="AW48">
            <v>3.08</v>
          </cell>
          <cell r="AX48">
            <v>3.07</v>
          </cell>
          <cell r="AY48">
            <v>3.02</v>
          </cell>
          <cell r="AZ48">
            <v>3.13</v>
          </cell>
          <cell r="BA48">
            <v>2.73</v>
          </cell>
          <cell r="BB48">
            <v>1.08</v>
          </cell>
          <cell r="BD48">
            <v>2.6</v>
          </cell>
          <cell r="BE48">
            <v>3.6</v>
          </cell>
          <cell r="BF48">
            <v>2.57</v>
          </cell>
          <cell r="BG48">
            <v>3.23</v>
          </cell>
          <cell r="BH48">
            <v>2.7</v>
          </cell>
          <cell r="BK48">
            <v>1.62</v>
          </cell>
          <cell r="BL48">
            <v>1.53</v>
          </cell>
          <cell r="BM48">
            <v>3.13</v>
          </cell>
          <cell r="BN48">
            <v>1.67</v>
          </cell>
          <cell r="BO48">
            <v>2.48</v>
          </cell>
          <cell r="BP48">
            <v>1.1000000000000001</v>
          </cell>
          <cell r="BS48">
            <v>3.08</v>
          </cell>
          <cell r="BT48">
            <v>3.27</v>
          </cell>
          <cell r="BU48">
            <v>8.17</v>
          </cell>
          <cell r="BV48">
            <v>1.68</v>
          </cell>
          <cell r="BW48">
            <v>1.02</v>
          </cell>
          <cell r="BY48">
            <v>1.1499999999999999</v>
          </cell>
          <cell r="BZ48">
            <v>3.5</v>
          </cell>
          <cell r="DI48">
            <v>0</v>
          </cell>
        </row>
        <row r="49">
          <cell r="C49" t="str">
            <v>Lương Thị Thùy Trang</v>
          </cell>
          <cell r="F49">
            <v>0</v>
          </cell>
          <cell r="AG49">
            <v>8.5299999999999994</v>
          </cell>
          <cell r="AH49">
            <v>8.5500000000000007</v>
          </cell>
        </row>
        <row r="50">
          <cell r="C50" t="str">
            <v>Võ Thị Hoài</v>
          </cell>
          <cell r="D50">
            <v>24.606249999999999</v>
          </cell>
          <cell r="E50">
            <v>1</v>
          </cell>
          <cell r="F50">
            <v>0</v>
          </cell>
          <cell r="H50">
            <v>0</v>
          </cell>
          <cell r="I50">
            <v>7.2424999999999997</v>
          </cell>
          <cell r="J50">
            <v>0</v>
          </cell>
          <cell r="K50">
            <v>0</v>
          </cell>
          <cell r="L50">
            <v>6</v>
          </cell>
          <cell r="M50">
            <v>5</v>
          </cell>
          <cell r="N50">
            <v>0</v>
          </cell>
          <cell r="O50">
            <v>57.94</v>
          </cell>
          <cell r="P50">
            <v>31.848749999999999</v>
          </cell>
          <cell r="Q50">
            <v>7.75</v>
          </cell>
          <cell r="R50">
            <v>8</v>
          </cell>
          <cell r="S50">
            <v>6.77</v>
          </cell>
          <cell r="T50" t="str">
            <v>P</v>
          </cell>
          <cell r="U50">
            <v>8</v>
          </cell>
          <cell r="V50">
            <v>7.5</v>
          </cell>
          <cell r="X50">
            <v>8</v>
          </cell>
          <cell r="Y50">
            <v>8</v>
          </cell>
          <cell r="Z50">
            <v>8</v>
          </cell>
          <cell r="AA50">
            <v>8</v>
          </cell>
          <cell r="AB50">
            <v>8</v>
          </cell>
          <cell r="AC50">
            <v>8</v>
          </cell>
          <cell r="AE50">
            <v>8</v>
          </cell>
          <cell r="AF50">
            <v>8</v>
          </cell>
          <cell r="AG50">
            <v>8</v>
          </cell>
          <cell r="AH50">
            <v>8</v>
          </cell>
          <cell r="AI50">
            <v>8</v>
          </cell>
          <cell r="AJ50">
            <v>8</v>
          </cell>
          <cell r="AL50">
            <v>8</v>
          </cell>
          <cell r="AM50">
            <v>7.8</v>
          </cell>
          <cell r="AN50">
            <v>8</v>
          </cell>
          <cell r="AO50">
            <v>7.38</v>
          </cell>
          <cell r="AP50">
            <v>8</v>
          </cell>
          <cell r="AQ50">
            <v>8</v>
          </cell>
          <cell r="AS50">
            <v>8</v>
          </cell>
          <cell r="AT50">
            <v>7.65</v>
          </cell>
          <cell r="AW50">
            <v>2.0699999999999998</v>
          </cell>
          <cell r="AY50">
            <v>2.08</v>
          </cell>
          <cell r="BD50">
            <v>2.1</v>
          </cell>
          <cell r="BE50">
            <v>2.1</v>
          </cell>
          <cell r="BF50">
            <v>2.12</v>
          </cell>
          <cell r="BG50">
            <v>2.02</v>
          </cell>
          <cell r="BH50">
            <v>2.17</v>
          </cell>
          <cell r="BI50">
            <v>3.47</v>
          </cell>
          <cell r="BK50">
            <v>2.82</v>
          </cell>
          <cell r="BL50">
            <v>4.91</v>
          </cell>
          <cell r="BM50">
            <v>1.2</v>
          </cell>
          <cell r="BN50">
            <v>4</v>
          </cell>
          <cell r="BO50">
            <v>4.9000000000000004</v>
          </cell>
          <cell r="BP50">
            <v>2.5</v>
          </cell>
          <cell r="BS50">
            <v>3.08</v>
          </cell>
          <cell r="BT50">
            <v>2.38</v>
          </cell>
          <cell r="BU50">
            <v>6.67</v>
          </cell>
          <cell r="BV50">
            <v>5.18</v>
          </cell>
          <cell r="BZ50">
            <v>2.17</v>
          </cell>
          <cell r="DI50">
            <v>0</v>
          </cell>
        </row>
        <row r="51">
          <cell r="C51" t="str">
            <v>Trần Ái Nhi</v>
          </cell>
          <cell r="D51">
            <v>23.682500000000001</v>
          </cell>
          <cell r="E51">
            <v>2</v>
          </cell>
          <cell r="F51">
            <v>0</v>
          </cell>
          <cell r="H51">
            <v>0</v>
          </cell>
          <cell r="I51">
            <v>4.8250000000000002</v>
          </cell>
          <cell r="J51">
            <v>0</v>
          </cell>
          <cell r="K51">
            <v>0</v>
          </cell>
          <cell r="L51">
            <v>3</v>
          </cell>
          <cell r="M51">
            <v>1</v>
          </cell>
          <cell r="N51">
            <v>0</v>
          </cell>
          <cell r="O51">
            <v>38.6</v>
          </cell>
          <cell r="P51">
            <v>28.5075</v>
          </cell>
          <cell r="Q51">
            <v>8</v>
          </cell>
          <cell r="R51" t="str">
            <v>P</v>
          </cell>
          <cell r="S51">
            <v>8</v>
          </cell>
          <cell r="T51">
            <v>8</v>
          </cell>
          <cell r="U51">
            <v>8</v>
          </cell>
          <cell r="V51" t="str">
            <v>P</v>
          </cell>
          <cell r="X51">
            <v>8</v>
          </cell>
          <cell r="Y51">
            <v>8</v>
          </cell>
          <cell r="Z51">
            <v>8</v>
          </cell>
          <cell r="AA51">
            <v>8</v>
          </cell>
          <cell r="AB51">
            <v>8</v>
          </cell>
          <cell r="AC51">
            <v>8</v>
          </cell>
          <cell r="AE51">
            <v>8</v>
          </cell>
          <cell r="AF51">
            <v>8</v>
          </cell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L51">
            <v>8</v>
          </cell>
          <cell r="AM51">
            <v>8</v>
          </cell>
          <cell r="AN51">
            <v>8</v>
          </cell>
          <cell r="AO51">
            <v>7.53</v>
          </cell>
          <cell r="AP51">
            <v>8</v>
          </cell>
          <cell r="AQ51">
            <v>5.93</v>
          </cell>
          <cell r="AS51">
            <v>8</v>
          </cell>
          <cell r="AT51">
            <v>8</v>
          </cell>
          <cell r="AW51">
            <v>2.0499999999999998</v>
          </cell>
          <cell r="AY51">
            <v>2.0699999999999998</v>
          </cell>
          <cell r="BD51">
            <v>2.1</v>
          </cell>
          <cell r="BE51">
            <v>2.08</v>
          </cell>
          <cell r="BF51">
            <v>2.12</v>
          </cell>
          <cell r="BG51">
            <v>2.02</v>
          </cell>
          <cell r="BH51">
            <v>2.17</v>
          </cell>
          <cell r="BI51">
            <v>2.12</v>
          </cell>
          <cell r="BK51">
            <v>2.2799999999999998</v>
          </cell>
          <cell r="BL51">
            <v>2.65</v>
          </cell>
          <cell r="BM51">
            <v>1.1000000000000001</v>
          </cell>
          <cell r="BN51">
            <v>2.0699999999999998</v>
          </cell>
          <cell r="BO51">
            <v>0.6</v>
          </cell>
          <cell r="BP51">
            <v>1.25</v>
          </cell>
          <cell r="BS51">
            <v>2.5</v>
          </cell>
          <cell r="BT51">
            <v>2.37</v>
          </cell>
          <cell r="BU51">
            <v>3.28</v>
          </cell>
          <cell r="BV51">
            <v>1.65</v>
          </cell>
          <cell r="BZ51">
            <v>2.12</v>
          </cell>
          <cell r="DI51">
            <v>0</v>
          </cell>
        </row>
        <row r="52">
          <cell r="C52" t="str">
            <v>Nguyễn Thị Hồng Xanh</v>
          </cell>
          <cell r="D52">
            <v>22</v>
          </cell>
          <cell r="E52">
            <v>0</v>
          </cell>
          <cell r="F52">
            <v>4</v>
          </cell>
          <cell r="H52">
            <v>0</v>
          </cell>
          <cell r="I52">
            <v>3.0262500000000001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24.21</v>
          </cell>
          <cell r="P52">
            <v>25.026250000000001</v>
          </cell>
          <cell r="Q52">
            <v>8</v>
          </cell>
          <cell r="R52">
            <v>8</v>
          </cell>
          <cell r="S52">
            <v>8</v>
          </cell>
          <cell r="T52">
            <v>8</v>
          </cell>
          <cell r="U52">
            <v>8</v>
          </cell>
          <cell r="V52">
            <v>8</v>
          </cell>
          <cell r="X52">
            <v>8</v>
          </cell>
          <cell r="Y52">
            <v>8</v>
          </cell>
          <cell r="Z52">
            <v>8</v>
          </cell>
          <cell r="AA52">
            <v>8</v>
          </cell>
          <cell r="AB52">
            <v>8</v>
          </cell>
          <cell r="AC52">
            <v>8</v>
          </cell>
          <cell r="AE52">
            <v>8</v>
          </cell>
          <cell r="AF52">
            <v>8</v>
          </cell>
          <cell r="AG52">
            <v>8</v>
          </cell>
          <cell r="AH52">
            <v>8</v>
          </cell>
          <cell r="AI52">
            <v>8</v>
          </cell>
          <cell r="AJ52">
            <v>8</v>
          </cell>
          <cell r="AL52">
            <v>8</v>
          </cell>
          <cell r="AM52">
            <v>8</v>
          </cell>
          <cell r="AN52" t="str">
            <v>KL</v>
          </cell>
          <cell r="AO52" t="str">
            <v>KL</v>
          </cell>
          <cell r="AP52" t="str">
            <v>KL</v>
          </cell>
          <cell r="AQ52" t="str">
            <v>KL</v>
          </cell>
          <cell r="AS52">
            <v>8</v>
          </cell>
          <cell r="AT52">
            <v>8</v>
          </cell>
          <cell r="AW52">
            <v>2.0499999999999998</v>
          </cell>
          <cell r="AY52">
            <v>2.0699999999999998</v>
          </cell>
          <cell r="BD52">
            <v>2.12</v>
          </cell>
          <cell r="BE52">
            <v>2.08</v>
          </cell>
          <cell r="BF52">
            <v>2.12</v>
          </cell>
          <cell r="BG52">
            <v>0.93</v>
          </cell>
          <cell r="BI52">
            <v>2.12</v>
          </cell>
          <cell r="BK52">
            <v>2.2799999999999998</v>
          </cell>
          <cell r="BL52">
            <v>2.65</v>
          </cell>
          <cell r="BM52">
            <v>1.6</v>
          </cell>
          <cell r="BN52">
            <v>2.0699999999999998</v>
          </cell>
          <cell r="BZ52">
            <v>2.12</v>
          </cell>
          <cell r="DI52">
            <v>0</v>
          </cell>
        </row>
        <row r="53">
          <cell r="C53" t="str">
            <v>Hạnh</v>
          </cell>
          <cell r="D53">
            <v>17</v>
          </cell>
          <cell r="E53">
            <v>0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P53">
            <v>17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8</v>
          </cell>
          <cell r="AA53">
            <v>8</v>
          </cell>
          <cell r="AB53">
            <v>8</v>
          </cell>
          <cell r="AC53">
            <v>0</v>
          </cell>
          <cell r="AE53">
            <v>8</v>
          </cell>
          <cell r="AF53">
            <v>8</v>
          </cell>
          <cell r="AG53">
            <v>8</v>
          </cell>
          <cell r="AH53">
            <v>8</v>
          </cell>
          <cell r="AI53">
            <v>8</v>
          </cell>
          <cell r="AJ53">
            <v>8</v>
          </cell>
          <cell r="AL53">
            <v>8</v>
          </cell>
          <cell r="AM53">
            <v>8</v>
          </cell>
          <cell r="AN53">
            <v>8</v>
          </cell>
          <cell r="AO53">
            <v>8</v>
          </cell>
          <cell r="AP53">
            <v>8</v>
          </cell>
          <cell r="AQ53">
            <v>8</v>
          </cell>
          <cell r="AS53">
            <v>8</v>
          </cell>
          <cell r="AT53">
            <v>8</v>
          </cell>
        </row>
        <row r="54">
          <cell r="C54" t="str">
            <v>Trần Tuấn Kiệt</v>
          </cell>
          <cell r="D54">
            <v>25.04</v>
          </cell>
          <cell r="E54">
            <v>0</v>
          </cell>
          <cell r="F54">
            <v>0</v>
          </cell>
          <cell r="H54">
            <v>0</v>
          </cell>
          <cell r="I54">
            <v>2.0924999999999998</v>
          </cell>
          <cell r="J54">
            <v>0</v>
          </cell>
          <cell r="K54">
            <v>0</v>
          </cell>
          <cell r="L54">
            <v>6</v>
          </cell>
          <cell r="M54">
            <v>6</v>
          </cell>
          <cell r="N54">
            <v>0</v>
          </cell>
          <cell r="O54">
            <v>16.739999999999998</v>
          </cell>
          <cell r="P54">
            <v>27.1325</v>
          </cell>
          <cell r="Q54">
            <v>8</v>
          </cell>
          <cell r="R54">
            <v>6.25</v>
          </cell>
          <cell r="S54">
            <v>7.5</v>
          </cell>
          <cell r="T54">
            <v>8</v>
          </cell>
          <cell r="U54">
            <v>7.08</v>
          </cell>
          <cell r="V54">
            <v>8</v>
          </cell>
          <cell r="X54">
            <v>8</v>
          </cell>
          <cell r="Y54">
            <v>8</v>
          </cell>
          <cell r="Z54">
            <v>8</v>
          </cell>
          <cell r="AA54">
            <v>7.85</v>
          </cell>
          <cell r="AB54">
            <v>8</v>
          </cell>
          <cell r="AC54">
            <v>8</v>
          </cell>
          <cell r="AE54">
            <v>8</v>
          </cell>
          <cell r="AF54">
            <v>7.8</v>
          </cell>
          <cell r="AG54">
            <v>8</v>
          </cell>
          <cell r="AH54">
            <v>8</v>
          </cell>
          <cell r="AI54">
            <v>8</v>
          </cell>
          <cell r="AJ54">
            <v>8</v>
          </cell>
          <cell r="AL54">
            <v>8</v>
          </cell>
          <cell r="AM54">
            <v>7.8</v>
          </cell>
          <cell r="AN54">
            <v>8</v>
          </cell>
          <cell r="AO54">
            <v>7.67</v>
          </cell>
          <cell r="AP54">
            <v>8</v>
          </cell>
          <cell r="AQ54">
            <v>8</v>
          </cell>
          <cell r="AS54">
            <v>4.37</v>
          </cell>
          <cell r="AT54">
            <v>8</v>
          </cell>
          <cell r="BC54">
            <v>7.62</v>
          </cell>
          <cell r="BF54">
            <v>3.02</v>
          </cell>
          <cell r="BG54">
            <v>0.85</v>
          </cell>
          <cell r="BH54">
            <v>3.1</v>
          </cell>
          <cell r="BR54">
            <v>1.57</v>
          </cell>
          <cell r="BU54">
            <v>0.57999999999999996</v>
          </cell>
          <cell r="DI54">
            <v>0</v>
          </cell>
        </row>
        <row r="55">
          <cell r="C55" t="str">
            <v>Nguyễn Thị Châu Loan</v>
          </cell>
          <cell r="D55">
            <v>25.87</v>
          </cell>
          <cell r="E55">
            <v>2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6</v>
          </cell>
          <cell r="M55">
            <v>4</v>
          </cell>
          <cell r="N55">
            <v>0</v>
          </cell>
          <cell r="O55">
            <v>0</v>
          </cell>
          <cell r="P55">
            <v>25.87</v>
          </cell>
          <cell r="Q55" t="str">
            <v>P</v>
          </cell>
          <cell r="R55" t="str">
            <v>P</v>
          </cell>
          <cell r="S55">
            <v>5.95</v>
          </cell>
          <cell r="T55">
            <v>10.119999999999999</v>
          </cell>
          <cell r="U55">
            <v>10.55</v>
          </cell>
          <cell r="V55">
            <v>6.28</v>
          </cell>
          <cell r="X55">
            <v>8.5</v>
          </cell>
          <cell r="Y55">
            <v>7.45</v>
          </cell>
          <cell r="Z55">
            <v>10.65</v>
          </cell>
          <cell r="AA55">
            <v>8.6</v>
          </cell>
          <cell r="AB55">
            <v>8.42</v>
          </cell>
          <cell r="AC55">
            <v>8.17</v>
          </cell>
          <cell r="AE55">
            <v>10.75</v>
          </cell>
          <cell r="AF55">
            <v>9.75</v>
          </cell>
          <cell r="AG55">
            <v>8.5299999999999994</v>
          </cell>
          <cell r="AH55">
            <v>8.08</v>
          </cell>
          <cell r="AI55">
            <v>9.17</v>
          </cell>
          <cell r="AJ55">
            <v>6.5</v>
          </cell>
          <cell r="AL55">
            <v>6.83</v>
          </cell>
          <cell r="AM55">
            <v>10.57</v>
          </cell>
          <cell r="AN55">
            <v>8.8800000000000008</v>
          </cell>
          <cell r="AO55">
            <v>8.48</v>
          </cell>
          <cell r="AP55">
            <v>9.52</v>
          </cell>
          <cell r="AQ55">
            <v>8.85</v>
          </cell>
          <cell r="AS55">
            <v>8.23</v>
          </cell>
          <cell r="AT55">
            <v>8.1300000000000008</v>
          </cell>
          <cell r="DI55">
            <v>0</v>
          </cell>
        </row>
        <row r="56">
          <cell r="C56" t="str">
            <v>Lê Hữu Thọ</v>
          </cell>
          <cell r="D56">
            <v>23.977499999999999</v>
          </cell>
          <cell r="E56">
            <v>0</v>
          </cell>
          <cell r="F56">
            <v>0</v>
          </cell>
          <cell r="H56">
            <v>0</v>
          </cell>
          <cell r="I56">
            <v>1.19</v>
          </cell>
          <cell r="J56">
            <v>0</v>
          </cell>
          <cell r="K56">
            <v>0</v>
          </cell>
          <cell r="L56">
            <v>6</v>
          </cell>
          <cell r="M56">
            <v>6</v>
          </cell>
          <cell r="N56">
            <v>0</v>
          </cell>
          <cell r="O56">
            <v>9.52</v>
          </cell>
          <cell r="P56">
            <v>25.1675</v>
          </cell>
          <cell r="Q56">
            <v>8</v>
          </cell>
          <cell r="R56">
            <v>8</v>
          </cell>
          <cell r="S56">
            <v>8</v>
          </cell>
          <cell r="T56">
            <v>8</v>
          </cell>
          <cell r="U56">
            <v>8</v>
          </cell>
          <cell r="V56">
            <v>8</v>
          </cell>
          <cell r="X56">
            <v>8</v>
          </cell>
          <cell r="Y56">
            <v>8</v>
          </cell>
          <cell r="Z56">
            <v>8</v>
          </cell>
          <cell r="AA56">
            <v>8</v>
          </cell>
          <cell r="AB56">
            <v>8</v>
          </cell>
          <cell r="AC56">
            <v>8</v>
          </cell>
          <cell r="AE56">
            <v>7.82</v>
          </cell>
          <cell r="AF56">
            <v>8</v>
          </cell>
          <cell r="AG56">
            <v>8</v>
          </cell>
          <cell r="AH56">
            <v>8</v>
          </cell>
          <cell r="AI56">
            <v>8</v>
          </cell>
          <cell r="AJ56">
            <v>8</v>
          </cell>
          <cell r="AL56">
            <v>8</v>
          </cell>
          <cell r="AM56">
            <v>8</v>
          </cell>
          <cell r="AN56">
            <v>8</v>
          </cell>
          <cell r="AO56">
            <v>8</v>
          </cell>
          <cell r="AP56">
            <v>8</v>
          </cell>
          <cell r="AQ56">
            <v>8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Y56">
            <v>0.52</v>
          </cell>
          <cell r="BJ56">
            <v>8</v>
          </cell>
          <cell r="BM56">
            <v>0.5</v>
          </cell>
          <cell r="BW56">
            <v>0.5</v>
          </cell>
          <cell r="DI56">
            <v>0</v>
          </cell>
        </row>
        <row r="57">
          <cell r="C57" t="str">
            <v>Nguyễn Văn Thái</v>
          </cell>
          <cell r="D57">
            <v>21.637499999999999</v>
          </cell>
          <cell r="E57">
            <v>2</v>
          </cell>
          <cell r="F57">
            <v>0</v>
          </cell>
          <cell r="H57">
            <v>0</v>
          </cell>
          <cell r="I57">
            <v>1.39625</v>
          </cell>
          <cell r="J57">
            <v>0</v>
          </cell>
          <cell r="K57">
            <v>0</v>
          </cell>
          <cell r="L57">
            <v>5</v>
          </cell>
          <cell r="M57">
            <v>3</v>
          </cell>
          <cell r="N57">
            <v>0</v>
          </cell>
          <cell r="O57">
            <v>11.17</v>
          </cell>
          <cell r="P57">
            <v>23.033750000000001</v>
          </cell>
          <cell r="Q57">
            <v>8</v>
          </cell>
          <cell r="R57">
            <v>8</v>
          </cell>
          <cell r="S57">
            <v>8</v>
          </cell>
          <cell r="T57">
            <v>8</v>
          </cell>
          <cell r="U57">
            <v>8</v>
          </cell>
          <cell r="V57">
            <v>8</v>
          </cell>
          <cell r="X57">
            <v>8</v>
          </cell>
          <cell r="Y57">
            <v>6.83</v>
          </cell>
          <cell r="Z57">
            <v>8</v>
          </cell>
          <cell r="AA57">
            <v>8</v>
          </cell>
          <cell r="AB57">
            <v>8</v>
          </cell>
          <cell r="AC57">
            <v>8</v>
          </cell>
          <cell r="AE57">
            <v>8</v>
          </cell>
          <cell r="AF57">
            <v>8</v>
          </cell>
          <cell r="AG57" t="str">
            <v>P</v>
          </cell>
          <cell r="AH57">
            <v>8</v>
          </cell>
          <cell r="AI57">
            <v>6.27</v>
          </cell>
          <cell r="AJ57" t="str">
            <v>P</v>
          </cell>
          <cell r="AL57">
            <v>8</v>
          </cell>
          <cell r="AM57">
            <v>8</v>
          </cell>
          <cell r="AN57">
            <v>8</v>
          </cell>
          <cell r="AO57">
            <v>8</v>
          </cell>
          <cell r="AP57">
            <v>8</v>
          </cell>
          <cell r="AQ57">
            <v>8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Y57">
            <v>2.5</v>
          </cell>
          <cell r="AZ57">
            <v>1.5</v>
          </cell>
          <cell r="BA57">
            <v>1.5</v>
          </cell>
          <cell r="BG57">
            <v>1.5</v>
          </cell>
          <cell r="BK57">
            <v>0.5</v>
          </cell>
          <cell r="BR57">
            <v>1</v>
          </cell>
          <cell r="BV57">
            <v>2.67</v>
          </cell>
          <cell r="DI57">
            <v>0</v>
          </cell>
        </row>
        <row r="58">
          <cell r="C58" t="str">
            <v>Dương Nhựt Thành</v>
          </cell>
          <cell r="D58">
            <v>23.03</v>
          </cell>
          <cell r="E58">
            <v>2</v>
          </cell>
          <cell r="F58">
            <v>0</v>
          </cell>
          <cell r="H58">
            <v>0</v>
          </cell>
          <cell r="I58">
            <v>3.6924999999999999</v>
          </cell>
          <cell r="J58">
            <v>0</v>
          </cell>
          <cell r="K58">
            <v>0</v>
          </cell>
          <cell r="L58">
            <v>5</v>
          </cell>
          <cell r="M58">
            <v>3</v>
          </cell>
          <cell r="N58">
            <v>0</v>
          </cell>
          <cell r="O58">
            <v>29.54</v>
          </cell>
          <cell r="P58">
            <v>26.7225</v>
          </cell>
          <cell r="Q58">
            <v>8</v>
          </cell>
          <cell r="R58">
            <v>7.75</v>
          </cell>
          <cell r="S58">
            <v>7.58</v>
          </cell>
          <cell r="T58">
            <v>7.58</v>
          </cell>
          <cell r="U58">
            <v>8</v>
          </cell>
          <cell r="V58">
            <v>7.42</v>
          </cell>
          <cell r="X58">
            <v>7.42</v>
          </cell>
          <cell r="Y58">
            <v>7.17</v>
          </cell>
          <cell r="Z58">
            <v>7.68</v>
          </cell>
          <cell r="AA58">
            <v>8</v>
          </cell>
          <cell r="AB58">
            <v>7.37</v>
          </cell>
          <cell r="AC58">
            <v>8</v>
          </cell>
          <cell r="AE58">
            <v>7.63</v>
          </cell>
          <cell r="AF58">
            <v>8</v>
          </cell>
          <cell r="AG58">
            <v>7.28</v>
          </cell>
          <cell r="AH58">
            <v>7.42</v>
          </cell>
          <cell r="AI58">
            <v>8</v>
          </cell>
          <cell r="AJ58" t="str">
            <v>P</v>
          </cell>
          <cell r="AL58" t="str">
            <v>P</v>
          </cell>
          <cell r="AM58">
            <v>7.48</v>
          </cell>
          <cell r="AN58">
            <v>8</v>
          </cell>
          <cell r="AO58">
            <v>7.18</v>
          </cell>
          <cell r="AP58">
            <v>8</v>
          </cell>
          <cell r="AQ58">
            <v>8</v>
          </cell>
          <cell r="AS58">
            <v>7.28</v>
          </cell>
          <cell r="AT58">
            <v>8</v>
          </cell>
          <cell r="AW58">
            <v>0.56999999999999995</v>
          </cell>
          <cell r="BA58">
            <v>1.17</v>
          </cell>
          <cell r="BF58">
            <v>0.83</v>
          </cell>
          <cell r="BG58">
            <v>2.4300000000000002</v>
          </cell>
          <cell r="BH58">
            <v>1.82</v>
          </cell>
          <cell r="BI58">
            <v>2.25</v>
          </cell>
          <cell r="BK58">
            <v>2.0499999999999998</v>
          </cell>
          <cell r="BL58">
            <v>3.28</v>
          </cell>
          <cell r="BM58">
            <v>1.17</v>
          </cell>
          <cell r="BO58">
            <v>0.92</v>
          </cell>
          <cell r="BS58">
            <v>1.37</v>
          </cell>
          <cell r="BT58">
            <v>1.63</v>
          </cell>
          <cell r="BU58">
            <v>1.5</v>
          </cell>
          <cell r="BV58">
            <v>1.93</v>
          </cell>
          <cell r="BW58">
            <v>5.12</v>
          </cell>
          <cell r="BY58">
            <v>1</v>
          </cell>
          <cell r="BZ58">
            <v>0.5</v>
          </cell>
          <cell r="DI58">
            <v>0</v>
          </cell>
        </row>
        <row r="59">
          <cell r="C59" t="str">
            <v>Tiết Trinh Nguyên</v>
          </cell>
          <cell r="D59">
            <v>24.977499999999999</v>
          </cell>
          <cell r="E59">
            <v>1</v>
          </cell>
          <cell r="F59">
            <v>0</v>
          </cell>
          <cell r="H59">
            <v>0</v>
          </cell>
          <cell r="I59">
            <v>2.15</v>
          </cell>
          <cell r="J59">
            <v>0</v>
          </cell>
          <cell r="K59">
            <v>0</v>
          </cell>
          <cell r="L59">
            <v>3</v>
          </cell>
          <cell r="M59">
            <v>2</v>
          </cell>
          <cell r="N59">
            <v>0</v>
          </cell>
          <cell r="O59">
            <v>17.2</v>
          </cell>
          <cell r="P59">
            <v>27.127500000000001</v>
          </cell>
          <cell r="Q59" t="str">
            <v>P</v>
          </cell>
          <cell r="R59">
            <v>8</v>
          </cell>
          <cell r="S59">
            <v>8</v>
          </cell>
          <cell r="T59">
            <v>8</v>
          </cell>
          <cell r="U59">
            <v>8</v>
          </cell>
          <cell r="V59">
            <v>8</v>
          </cell>
          <cell r="X59">
            <v>8</v>
          </cell>
          <cell r="Y59">
            <v>8</v>
          </cell>
          <cell r="Z59">
            <v>8</v>
          </cell>
          <cell r="AA59">
            <v>8</v>
          </cell>
          <cell r="AB59">
            <v>8</v>
          </cell>
          <cell r="AC59">
            <v>8</v>
          </cell>
          <cell r="AE59">
            <v>8</v>
          </cell>
          <cell r="AF59">
            <v>8</v>
          </cell>
          <cell r="AG59">
            <v>8</v>
          </cell>
          <cell r="AH59">
            <v>8</v>
          </cell>
          <cell r="AI59">
            <v>8</v>
          </cell>
          <cell r="AJ59">
            <v>8</v>
          </cell>
          <cell r="AL59">
            <v>7.82</v>
          </cell>
          <cell r="AM59">
            <v>8</v>
          </cell>
          <cell r="AN59">
            <v>8</v>
          </cell>
          <cell r="AO59">
            <v>8</v>
          </cell>
          <cell r="AP59">
            <v>8</v>
          </cell>
          <cell r="AQ59">
            <v>8</v>
          </cell>
          <cell r="AS59">
            <v>8</v>
          </cell>
          <cell r="AT59">
            <v>8</v>
          </cell>
          <cell r="BA59">
            <v>0.5</v>
          </cell>
          <cell r="BL59">
            <v>0.53</v>
          </cell>
          <cell r="BM59">
            <v>0.72</v>
          </cell>
          <cell r="BP59">
            <v>1.5</v>
          </cell>
          <cell r="BR59">
            <v>1.08</v>
          </cell>
          <cell r="BS59">
            <v>1.1200000000000001</v>
          </cell>
          <cell r="BU59">
            <v>1.25</v>
          </cell>
          <cell r="BW59">
            <v>5.5</v>
          </cell>
          <cell r="BX59">
            <v>5</v>
          </cell>
          <cell r="DI59">
            <v>0</v>
          </cell>
        </row>
        <row r="60">
          <cell r="C60" t="str">
            <v>Trần Minh Đông</v>
          </cell>
          <cell r="D60">
            <v>25.12</v>
          </cell>
          <cell r="E60">
            <v>0</v>
          </cell>
          <cell r="F60">
            <v>0</v>
          </cell>
          <cell r="H60">
            <v>0</v>
          </cell>
          <cell r="I60">
            <v>3.6349999999999998</v>
          </cell>
          <cell r="J60">
            <v>0.50375000000000003</v>
          </cell>
          <cell r="K60">
            <v>0</v>
          </cell>
          <cell r="M60">
            <v>0</v>
          </cell>
          <cell r="N60">
            <v>4.03</v>
          </cell>
          <cell r="O60">
            <v>29.08</v>
          </cell>
          <cell r="P60">
            <v>28.754999999999999</v>
          </cell>
          <cell r="Q60">
            <v>8</v>
          </cell>
          <cell r="R60">
            <v>8</v>
          </cell>
          <cell r="S60">
            <v>8</v>
          </cell>
          <cell r="T60">
            <v>8</v>
          </cell>
          <cell r="U60">
            <v>8</v>
          </cell>
          <cell r="V60">
            <v>4.78</v>
          </cell>
          <cell r="X60">
            <v>8</v>
          </cell>
          <cell r="Y60">
            <v>8</v>
          </cell>
          <cell r="Z60">
            <v>8</v>
          </cell>
          <cell r="AA60">
            <v>8</v>
          </cell>
          <cell r="AB60">
            <v>8</v>
          </cell>
          <cell r="AC60">
            <v>4.18</v>
          </cell>
          <cell r="AE60">
            <v>8</v>
          </cell>
          <cell r="AF60">
            <v>8</v>
          </cell>
          <cell r="AG60">
            <v>8</v>
          </cell>
          <cell r="AH60">
            <v>8</v>
          </cell>
          <cell r="AI60">
            <v>8</v>
          </cell>
          <cell r="AJ60">
            <v>8</v>
          </cell>
          <cell r="AL60">
            <v>8</v>
          </cell>
          <cell r="AM60">
            <v>8</v>
          </cell>
          <cell r="AN60">
            <v>8</v>
          </cell>
          <cell r="AO60">
            <v>8</v>
          </cell>
          <cell r="AP60">
            <v>8</v>
          </cell>
          <cell r="AQ60">
            <v>8</v>
          </cell>
          <cell r="AS60">
            <v>8</v>
          </cell>
          <cell r="AT60">
            <v>8</v>
          </cell>
          <cell r="AW60">
            <v>0.65</v>
          </cell>
          <cell r="AX60">
            <v>0.62</v>
          </cell>
          <cell r="BD60">
            <v>0.5</v>
          </cell>
          <cell r="BI60">
            <v>1.5</v>
          </cell>
          <cell r="BL60">
            <v>1.05</v>
          </cell>
          <cell r="BO60">
            <v>3</v>
          </cell>
          <cell r="BR60">
            <v>0.75</v>
          </cell>
          <cell r="BT60">
            <v>3.08</v>
          </cell>
          <cell r="BU60">
            <v>3.13</v>
          </cell>
          <cell r="BV60">
            <v>5</v>
          </cell>
          <cell r="BW60">
            <v>4.5199999999999996</v>
          </cell>
          <cell r="BX60">
            <v>5.28</v>
          </cell>
          <cell r="DA60">
            <v>4.03</v>
          </cell>
          <cell r="DI60">
            <v>0</v>
          </cell>
        </row>
        <row r="61">
          <cell r="C61" t="str">
            <v>Trần Thị Thanh Dung</v>
          </cell>
          <cell r="D61">
            <v>16.965</v>
          </cell>
          <cell r="E61">
            <v>0</v>
          </cell>
          <cell r="F61">
            <v>0</v>
          </cell>
          <cell r="H61">
            <v>0</v>
          </cell>
          <cell r="I61">
            <v>1.3262499999999999</v>
          </cell>
          <cell r="J61">
            <v>0</v>
          </cell>
          <cell r="K61">
            <v>0</v>
          </cell>
          <cell r="L61">
            <v>3</v>
          </cell>
          <cell r="M61">
            <v>3</v>
          </cell>
          <cell r="N61">
            <v>0</v>
          </cell>
          <cell r="O61">
            <v>10.61</v>
          </cell>
          <cell r="P61">
            <v>18.291250000000002</v>
          </cell>
          <cell r="Q61">
            <v>8</v>
          </cell>
          <cell r="R61">
            <v>8</v>
          </cell>
          <cell r="S61">
            <v>8</v>
          </cell>
          <cell r="T61">
            <v>8</v>
          </cell>
          <cell r="U61">
            <v>8</v>
          </cell>
          <cell r="V61">
            <v>8</v>
          </cell>
          <cell r="X61">
            <v>8</v>
          </cell>
          <cell r="Y61">
            <v>8</v>
          </cell>
          <cell r="Z61">
            <v>8</v>
          </cell>
          <cell r="AA61">
            <v>8</v>
          </cell>
          <cell r="AB61">
            <v>8</v>
          </cell>
          <cell r="AC61">
            <v>7.72</v>
          </cell>
          <cell r="AE61">
            <v>8</v>
          </cell>
          <cell r="AF61">
            <v>8</v>
          </cell>
          <cell r="AG61">
            <v>8</v>
          </cell>
          <cell r="AH61">
            <v>8</v>
          </cell>
          <cell r="AI61">
            <v>8</v>
          </cell>
          <cell r="AJ61" t="str">
            <v>-</v>
          </cell>
          <cell r="AK61" t="str">
            <v>-</v>
          </cell>
          <cell r="AL61" t="str">
            <v>-</v>
          </cell>
          <cell r="AM61" t="str">
            <v>-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X61">
            <v>0.67</v>
          </cell>
          <cell r="AY61">
            <v>0.95</v>
          </cell>
          <cell r="AZ61">
            <v>1</v>
          </cell>
          <cell r="BA61">
            <v>0.95</v>
          </cell>
          <cell r="BB61">
            <v>0.73</v>
          </cell>
          <cell r="BD61">
            <v>0.78</v>
          </cell>
          <cell r="BF61">
            <v>1.02</v>
          </cell>
          <cell r="BG61">
            <v>1.18</v>
          </cell>
          <cell r="BK61">
            <v>0.37</v>
          </cell>
          <cell r="BN61">
            <v>1.18</v>
          </cell>
          <cell r="BO61">
            <v>1.78</v>
          </cell>
          <cell r="DI61">
            <v>0</v>
          </cell>
        </row>
        <row r="62">
          <cell r="C62" t="str">
            <v>Vũ Thị Mai Thủy</v>
          </cell>
          <cell r="D62">
            <v>27.01</v>
          </cell>
          <cell r="E62">
            <v>1</v>
          </cell>
          <cell r="F62">
            <v>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</v>
          </cell>
          <cell r="M62">
            <v>0</v>
          </cell>
          <cell r="N62">
            <v>0</v>
          </cell>
          <cell r="O62">
            <v>0</v>
          </cell>
          <cell r="P62">
            <v>27.01</v>
          </cell>
          <cell r="Q62">
            <v>8</v>
          </cell>
          <cell r="R62">
            <v>8</v>
          </cell>
          <cell r="S62">
            <v>8</v>
          </cell>
          <cell r="T62">
            <v>11.2</v>
          </cell>
          <cell r="U62">
            <v>9.6</v>
          </cell>
          <cell r="V62">
            <v>8.93</v>
          </cell>
          <cell r="X62">
            <v>9.35</v>
          </cell>
          <cell r="Y62">
            <v>9.77</v>
          </cell>
          <cell r="Z62">
            <v>8</v>
          </cell>
          <cell r="AA62">
            <v>8.98</v>
          </cell>
          <cell r="AB62">
            <v>10.43</v>
          </cell>
          <cell r="AC62">
            <v>10.75</v>
          </cell>
          <cell r="AE62" t="str">
            <v>KL</v>
          </cell>
          <cell r="AF62" t="str">
            <v>P</v>
          </cell>
          <cell r="AG62">
            <v>8</v>
          </cell>
          <cell r="AH62">
            <v>9.5</v>
          </cell>
          <cell r="AI62">
            <v>9.65</v>
          </cell>
          <cell r="AJ62">
            <v>8.65</v>
          </cell>
          <cell r="AL62">
            <v>8.9</v>
          </cell>
          <cell r="AM62">
            <v>9.65</v>
          </cell>
          <cell r="AN62">
            <v>8</v>
          </cell>
          <cell r="AO62">
            <v>9.2200000000000006</v>
          </cell>
          <cell r="AP62">
            <v>8.23</v>
          </cell>
          <cell r="AQ62">
            <v>7.65</v>
          </cell>
          <cell r="AS62">
            <v>8</v>
          </cell>
          <cell r="AT62">
            <v>9.6199999999999992</v>
          </cell>
          <cell r="DI62">
            <v>0</v>
          </cell>
        </row>
        <row r="63">
          <cell r="C63" t="str">
            <v>Nguyễn Thị Ngọc</v>
          </cell>
          <cell r="D63">
            <v>25.248750000000001</v>
          </cell>
          <cell r="E63">
            <v>0</v>
          </cell>
          <cell r="F63">
            <v>0</v>
          </cell>
          <cell r="H63">
            <v>0</v>
          </cell>
          <cell r="I63">
            <v>0.3725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2.98</v>
          </cell>
          <cell r="P63">
            <v>25.62125</v>
          </cell>
          <cell r="Q63">
            <v>8</v>
          </cell>
          <cell r="R63">
            <v>8</v>
          </cell>
          <cell r="S63">
            <v>8</v>
          </cell>
          <cell r="T63">
            <v>8</v>
          </cell>
          <cell r="U63">
            <v>8</v>
          </cell>
          <cell r="V63">
            <v>8</v>
          </cell>
          <cell r="X63">
            <v>8</v>
          </cell>
          <cell r="Y63">
            <v>8</v>
          </cell>
          <cell r="Z63">
            <v>8</v>
          </cell>
          <cell r="AA63">
            <v>8</v>
          </cell>
          <cell r="AB63">
            <v>8</v>
          </cell>
          <cell r="AC63">
            <v>8</v>
          </cell>
          <cell r="AE63">
            <v>8</v>
          </cell>
          <cell r="AF63">
            <v>6.52</v>
          </cell>
          <cell r="AG63">
            <v>6.72</v>
          </cell>
          <cell r="AH63">
            <v>7.77</v>
          </cell>
          <cell r="AI63">
            <v>8</v>
          </cell>
          <cell r="AJ63">
            <v>7.88</v>
          </cell>
          <cell r="AL63">
            <v>8</v>
          </cell>
          <cell r="AM63">
            <v>8</v>
          </cell>
          <cell r="AN63">
            <v>8</v>
          </cell>
          <cell r="AO63">
            <v>8</v>
          </cell>
          <cell r="AP63">
            <v>7.92</v>
          </cell>
          <cell r="AQ63">
            <v>8</v>
          </cell>
          <cell r="AS63">
            <v>5.18</v>
          </cell>
          <cell r="AT63">
            <v>8</v>
          </cell>
          <cell r="BA63">
            <v>0.67</v>
          </cell>
          <cell r="BN63">
            <v>0.53</v>
          </cell>
          <cell r="BO63">
            <v>1.78</v>
          </cell>
          <cell r="DI63">
            <v>0</v>
          </cell>
        </row>
        <row r="64">
          <cell r="C64" t="str">
            <v>Tô Bích Hồng</v>
          </cell>
          <cell r="D64">
            <v>28.965</v>
          </cell>
          <cell r="E64">
            <v>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28.965</v>
          </cell>
          <cell r="Q64">
            <v>8</v>
          </cell>
          <cell r="R64">
            <v>7.92</v>
          </cell>
          <cell r="S64">
            <v>8</v>
          </cell>
          <cell r="T64">
            <v>8</v>
          </cell>
          <cell r="U64">
            <v>8</v>
          </cell>
          <cell r="V64">
            <v>8</v>
          </cell>
          <cell r="W64">
            <v>8</v>
          </cell>
          <cell r="X64">
            <v>8</v>
          </cell>
          <cell r="Y64">
            <v>8</v>
          </cell>
          <cell r="Z64">
            <v>8</v>
          </cell>
          <cell r="AA64">
            <v>7.8</v>
          </cell>
          <cell r="AB64">
            <v>8</v>
          </cell>
          <cell r="AC64">
            <v>8</v>
          </cell>
          <cell r="AD64">
            <v>8</v>
          </cell>
          <cell r="AE64">
            <v>8</v>
          </cell>
          <cell r="AF64">
            <v>8</v>
          </cell>
          <cell r="AG64">
            <v>8</v>
          </cell>
          <cell r="AH64">
            <v>8</v>
          </cell>
          <cell r="AI64">
            <v>8</v>
          </cell>
          <cell r="AJ64">
            <v>8</v>
          </cell>
          <cell r="AK64">
            <v>8</v>
          </cell>
          <cell r="AL64">
            <v>8</v>
          </cell>
          <cell r="AM64">
            <v>8</v>
          </cell>
          <cell r="AN64">
            <v>8</v>
          </cell>
          <cell r="AO64">
            <v>8</v>
          </cell>
          <cell r="AP64">
            <v>8</v>
          </cell>
          <cell r="AQ64">
            <v>8</v>
          </cell>
          <cell r="AS64">
            <v>8</v>
          </cell>
          <cell r="AT64">
            <v>8</v>
          </cell>
          <cell r="DI64">
            <v>0</v>
          </cell>
        </row>
        <row r="65">
          <cell r="C65" t="str">
            <v>Nguyễn Thái Ngọc Quỳnh</v>
          </cell>
          <cell r="D65">
            <v>7.1524999999999999</v>
          </cell>
          <cell r="E65">
            <v>0</v>
          </cell>
          <cell r="F65">
            <v>1</v>
          </cell>
          <cell r="H65">
            <v>0</v>
          </cell>
          <cell r="I65">
            <v>1.04</v>
          </cell>
          <cell r="J65">
            <v>0</v>
          </cell>
          <cell r="K65">
            <v>0</v>
          </cell>
          <cell r="M65">
            <v>0</v>
          </cell>
          <cell r="N65">
            <v>0</v>
          </cell>
          <cell r="O65">
            <v>8.32</v>
          </cell>
          <cell r="P65">
            <v>8.1925000000000008</v>
          </cell>
          <cell r="Q65">
            <v>7.8</v>
          </cell>
          <cell r="R65">
            <v>7.92</v>
          </cell>
          <cell r="S65">
            <v>3.75</v>
          </cell>
          <cell r="T65" t="str">
            <v>KL</v>
          </cell>
          <cell r="U65">
            <v>7.67</v>
          </cell>
          <cell r="V65">
            <v>7.83</v>
          </cell>
          <cell r="X65">
            <v>6.33</v>
          </cell>
          <cell r="Y65">
            <v>7.92</v>
          </cell>
          <cell r="Z65">
            <v>8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W65">
            <v>4</v>
          </cell>
          <cell r="AX65">
            <v>3.1</v>
          </cell>
          <cell r="BD65">
            <v>0.6</v>
          </cell>
          <cell r="BE65">
            <v>0.62</v>
          </cell>
          <cell r="DI65">
            <v>0</v>
          </cell>
        </row>
        <row r="66">
          <cell r="C66" t="str">
            <v>Nguyễn Hoàng Ngọc Châu</v>
          </cell>
          <cell r="D66">
            <v>26</v>
          </cell>
          <cell r="E66">
            <v>0</v>
          </cell>
          <cell r="F66">
            <v>0</v>
          </cell>
          <cell r="H66">
            <v>0</v>
          </cell>
          <cell r="I66">
            <v>0.97624999999999995</v>
          </cell>
          <cell r="J66">
            <v>0</v>
          </cell>
          <cell r="K66">
            <v>0</v>
          </cell>
          <cell r="L66">
            <v>1</v>
          </cell>
          <cell r="M66">
            <v>1</v>
          </cell>
          <cell r="N66">
            <v>0</v>
          </cell>
          <cell r="O66">
            <v>7.81</v>
          </cell>
          <cell r="P66">
            <v>26.97625</v>
          </cell>
          <cell r="Q66">
            <v>8</v>
          </cell>
          <cell r="R66">
            <v>8</v>
          </cell>
          <cell r="S66">
            <v>8</v>
          </cell>
          <cell r="T66">
            <v>8</v>
          </cell>
          <cell r="U66">
            <v>8</v>
          </cell>
          <cell r="V66">
            <v>8</v>
          </cell>
          <cell r="X66">
            <v>8</v>
          </cell>
          <cell r="Y66">
            <v>8</v>
          </cell>
          <cell r="Z66">
            <v>8</v>
          </cell>
          <cell r="AA66">
            <v>8</v>
          </cell>
          <cell r="AB66">
            <v>8</v>
          </cell>
          <cell r="AC66">
            <v>8</v>
          </cell>
          <cell r="AE66">
            <v>8</v>
          </cell>
          <cell r="AF66">
            <v>8</v>
          </cell>
          <cell r="AG66">
            <v>8</v>
          </cell>
          <cell r="AH66">
            <v>8</v>
          </cell>
          <cell r="AI66">
            <v>8</v>
          </cell>
          <cell r="AJ66">
            <v>8</v>
          </cell>
          <cell r="AL66">
            <v>8</v>
          </cell>
          <cell r="AM66">
            <v>8</v>
          </cell>
          <cell r="AN66">
            <v>8</v>
          </cell>
          <cell r="AO66">
            <v>8</v>
          </cell>
          <cell r="AP66">
            <v>8</v>
          </cell>
          <cell r="AQ66">
            <v>8</v>
          </cell>
          <cell r="AS66">
            <v>8</v>
          </cell>
          <cell r="AT66">
            <v>8</v>
          </cell>
          <cell r="AW66">
            <v>0.56999999999999995</v>
          </cell>
          <cell r="AX66">
            <v>0.7</v>
          </cell>
          <cell r="AY66">
            <v>1.1000000000000001</v>
          </cell>
          <cell r="AZ66">
            <v>0.52</v>
          </cell>
          <cell r="BD66">
            <v>0.6</v>
          </cell>
          <cell r="BG66">
            <v>1.02</v>
          </cell>
          <cell r="BH66">
            <v>2.0699999999999998</v>
          </cell>
          <cell r="BW66">
            <v>1.23</v>
          </cell>
        </row>
        <row r="67">
          <cell r="C67" t="str">
            <v>Lê Ái Như</v>
          </cell>
          <cell r="D67">
            <v>14</v>
          </cell>
          <cell r="E67">
            <v>0</v>
          </cell>
          <cell r="F67">
            <v>0</v>
          </cell>
          <cell r="H67">
            <v>0</v>
          </cell>
          <cell r="I67">
            <v>6.6250000000000003E-2</v>
          </cell>
          <cell r="J67">
            <v>0</v>
          </cell>
          <cell r="K67">
            <v>0</v>
          </cell>
          <cell r="M67">
            <v>0</v>
          </cell>
          <cell r="N67">
            <v>0</v>
          </cell>
          <cell r="O67">
            <v>0.53</v>
          </cell>
          <cell r="P67">
            <v>14.06625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8</v>
          </cell>
          <cell r="AF67">
            <v>8</v>
          </cell>
          <cell r="AG67">
            <v>8</v>
          </cell>
          <cell r="AH67">
            <v>8</v>
          </cell>
          <cell r="AI67">
            <v>8</v>
          </cell>
          <cell r="AJ67">
            <v>8</v>
          </cell>
          <cell r="AL67">
            <v>8</v>
          </cell>
          <cell r="AM67">
            <v>8</v>
          </cell>
          <cell r="AN67">
            <v>8</v>
          </cell>
          <cell r="AO67">
            <v>8</v>
          </cell>
          <cell r="AP67">
            <v>8</v>
          </cell>
          <cell r="AQ67">
            <v>8</v>
          </cell>
          <cell r="AS67">
            <v>8</v>
          </cell>
          <cell r="AT67">
            <v>8</v>
          </cell>
          <cell r="BW67">
            <v>0.53</v>
          </cell>
        </row>
        <row r="68">
          <cell r="C68" t="str">
            <v>Ỳ Khố Lệ</v>
          </cell>
          <cell r="D68">
            <v>13.5</v>
          </cell>
          <cell r="E68">
            <v>0</v>
          </cell>
          <cell r="F68">
            <v>0</v>
          </cell>
          <cell r="H68">
            <v>0</v>
          </cell>
          <cell r="I68">
            <v>0.15375</v>
          </cell>
          <cell r="J68">
            <v>0</v>
          </cell>
          <cell r="K68">
            <v>0</v>
          </cell>
          <cell r="M68">
            <v>0</v>
          </cell>
          <cell r="N68">
            <v>0</v>
          </cell>
          <cell r="O68">
            <v>1.23</v>
          </cell>
          <cell r="P68">
            <v>13.65375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8</v>
          </cell>
          <cell r="AF68">
            <v>8</v>
          </cell>
          <cell r="AG68">
            <v>8</v>
          </cell>
          <cell r="AH68">
            <v>4</v>
          </cell>
          <cell r="AI68">
            <v>8</v>
          </cell>
          <cell r="AJ68">
            <v>8</v>
          </cell>
          <cell r="AL68">
            <v>8</v>
          </cell>
          <cell r="AM68">
            <v>8</v>
          </cell>
          <cell r="AN68">
            <v>8</v>
          </cell>
          <cell r="AO68">
            <v>8</v>
          </cell>
          <cell r="AP68">
            <v>8</v>
          </cell>
          <cell r="AQ68">
            <v>8</v>
          </cell>
          <cell r="AS68">
            <v>8</v>
          </cell>
          <cell r="AT68">
            <v>8</v>
          </cell>
          <cell r="BW68">
            <v>1.23</v>
          </cell>
        </row>
        <row r="69">
          <cell r="C69" t="str">
            <v>Đặng Phan Thùy Dung</v>
          </cell>
          <cell r="D69">
            <v>17.96875</v>
          </cell>
          <cell r="E69">
            <v>0</v>
          </cell>
          <cell r="F69">
            <v>0</v>
          </cell>
          <cell r="H69">
            <v>0</v>
          </cell>
          <cell r="I69">
            <v>1.8925000000000001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15.14</v>
          </cell>
          <cell r="P69">
            <v>19.861249999999998</v>
          </cell>
          <cell r="Q69">
            <v>8</v>
          </cell>
          <cell r="R69">
            <v>8</v>
          </cell>
          <cell r="S69">
            <v>5.75</v>
          </cell>
          <cell r="T69">
            <v>7.67</v>
          </cell>
          <cell r="U69">
            <v>7.92</v>
          </cell>
          <cell r="X69">
            <v>7.5</v>
          </cell>
          <cell r="Y69">
            <v>6.33</v>
          </cell>
          <cell r="Z69">
            <v>5.57</v>
          </cell>
          <cell r="AA69">
            <v>7.9</v>
          </cell>
          <cell r="AB69">
            <v>8</v>
          </cell>
          <cell r="AC69">
            <v>7.7</v>
          </cell>
          <cell r="AE69">
            <v>8</v>
          </cell>
          <cell r="AF69">
            <v>8</v>
          </cell>
          <cell r="AI69">
            <v>8</v>
          </cell>
          <cell r="AJ69">
            <v>7.68</v>
          </cell>
          <cell r="AL69">
            <v>3.91</v>
          </cell>
          <cell r="AM69">
            <v>7.82</v>
          </cell>
          <cell r="AN69">
            <v>4</v>
          </cell>
          <cell r="AO69">
            <v>8</v>
          </cell>
          <cell r="AP69">
            <v>8</v>
          </cell>
          <cell r="BH69">
            <v>3.05</v>
          </cell>
          <cell r="BP69">
            <v>3.02</v>
          </cell>
          <cell r="BR69">
            <v>3.02</v>
          </cell>
          <cell r="BS69">
            <v>3.03</v>
          </cell>
          <cell r="BU69">
            <v>3.02</v>
          </cell>
          <cell r="DI69">
            <v>0</v>
          </cell>
        </row>
        <row r="70">
          <cell r="C70" t="str">
            <v>Phạm Thị Mỹ Tâm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DI70">
            <v>0</v>
          </cell>
        </row>
        <row r="71">
          <cell r="C71" t="str">
            <v>Danh Thị Phương Thùy</v>
          </cell>
          <cell r="D71">
            <v>0</v>
          </cell>
          <cell r="E71">
            <v>0</v>
          </cell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C72" t="str">
            <v xml:space="preserve">Phạm Anh Tuyết Tuyết 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C73" t="str">
            <v>Nguyễn Thanh Kim Trúc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C74" t="str">
            <v>Le Jallade Amandine</v>
          </cell>
          <cell r="D74">
            <v>16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P74">
            <v>16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8</v>
          </cell>
          <cell r="Y74">
            <v>8</v>
          </cell>
          <cell r="Z74">
            <v>8</v>
          </cell>
          <cell r="AA74">
            <v>8</v>
          </cell>
          <cell r="AB74">
            <v>8</v>
          </cell>
          <cell r="AE74">
            <v>8</v>
          </cell>
          <cell r="AF74">
            <v>8</v>
          </cell>
          <cell r="AG74">
            <v>8</v>
          </cell>
          <cell r="AH74">
            <v>8</v>
          </cell>
          <cell r="AI74">
            <v>8</v>
          </cell>
          <cell r="AL74">
            <v>8</v>
          </cell>
          <cell r="AM74">
            <v>8</v>
          </cell>
          <cell r="AN74">
            <v>8</v>
          </cell>
          <cell r="AP74">
            <v>8</v>
          </cell>
          <cell r="AS74">
            <v>8</v>
          </cell>
          <cell r="AT74">
            <v>8</v>
          </cell>
        </row>
        <row r="75">
          <cell r="C75" t="str">
            <v>Nguyễn Thị Liên Tâm</v>
          </cell>
          <cell r="D75">
            <v>17.978750000000002</v>
          </cell>
          <cell r="E75">
            <v>0</v>
          </cell>
          <cell r="F75">
            <v>0</v>
          </cell>
          <cell r="H75">
            <v>0</v>
          </cell>
          <cell r="I75">
            <v>2.5125000000000002</v>
          </cell>
          <cell r="J75">
            <v>0</v>
          </cell>
          <cell r="K75">
            <v>0</v>
          </cell>
          <cell r="M75">
            <v>0</v>
          </cell>
          <cell r="N75">
            <v>0</v>
          </cell>
          <cell r="O75">
            <v>20.100000000000001</v>
          </cell>
          <cell r="P75">
            <v>20.491250000000001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7.83</v>
          </cell>
          <cell r="AA75">
            <v>8</v>
          </cell>
          <cell r="AB75">
            <v>8</v>
          </cell>
          <cell r="AC75">
            <v>8</v>
          </cell>
          <cell r="AE75">
            <v>8</v>
          </cell>
          <cell r="AF75">
            <v>8</v>
          </cell>
          <cell r="AG75">
            <v>8</v>
          </cell>
          <cell r="AH75">
            <v>8</v>
          </cell>
          <cell r="AI75">
            <v>8</v>
          </cell>
          <cell r="AJ75">
            <v>8</v>
          </cell>
          <cell r="AL75">
            <v>8</v>
          </cell>
          <cell r="AM75">
            <v>8</v>
          </cell>
          <cell r="AN75">
            <v>8</v>
          </cell>
          <cell r="AO75">
            <v>8</v>
          </cell>
          <cell r="AP75">
            <v>8</v>
          </cell>
          <cell r="AQ75">
            <v>8</v>
          </cell>
          <cell r="AS75">
            <v>8</v>
          </cell>
          <cell r="AT75">
            <v>8</v>
          </cell>
          <cell r="BN75">
            <v>3.03</v>
          </cell>
          <cell r="BP75">
            <v>3.03</v>
          </cell>
          <cell r="BQ75">
            <v>8</v>
          </cell>
          <cell r="BS75">
            <v>3.02</v>
          </cell>
          <cell r="BU75">
            <v>3.02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huy Vu Thi Mai" id="{0567AAC0-2D77-4A1B-B57F-F1E2FBED2F25}" userId="4bf7fa531a7cbd23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2" dT="2026-06-18T10:34:29.66" personId="{0567AAC0-2D77-4A1B-B57F-F1E2FBED2F25}" id="{1BC8DA6A-C104-47C0-93FA-FC015EC586E8}">
    <text xml:space="preserve">Net 9.5tr =&gt; Gross </text>
  </threadedComment>
  <threadedComment ref="C43" dT="2026-07-03T10:52:25.92" personId="{0567AAC0-2D77-4A1B-B57F-F1E2FBED2F25}" id="{0DD0D6E8-276D-4C08-B0D5-6AFA05433A6A}">
    <text xml:space="preserve">Lương Gross 10tr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21" dT="2026-07-03T07:49:36.85" personId="{0567AAC0-2D77-4A1B-B57F-F1E2FBED2F25}" id="{6EB220A6-40AF-44A0-AF75-A4376614A461}">
    <text>Ctac Thượng Hải</text>
  </threadedComment>
  <threadedComment ref="E23" dT="2026-07-03T07:43:01.02" personId="{0567AAC0-2D77-4A1B-B57F-F1E2FBED2F25}" id="{DF5324C4-F203-48E7-90AD-0EF92E7AA039}">
    <text>Ctac Thái Lan</text>
  </threadedComment>
  <threadedComment ref="AH23" dT="2026-07-03T07:49:36.85" personId="{0567AAC0-2D77-4A1B-B57F-F1E2FBED2F25}" id="{A14183F5-293D-43B3-82C4-7FAA59673D76}">
    <text>Ctac Thượng Hải</text>
  </threadedComment>
  <threadedComment ref="AH27" dT="2026-07-03T07:49:36.85" personId="{0567AAC0-2D77-4A1B-B57F-F1E2FBED2F25}" id="{5AA19DDA-8BE1-4205-B2B1-A327CB5FE8D0}">
    <text>Ctac Thượng Hải</text>
  </threadedComment>
  <threadedComment ref="AH29" dT="2026-07-03T07:49:36.85" personId="{0567AAC0-2D77-4A1B-B57F-F1E2FBED2F25}" id="{8B65B6B3-9C50-4FF5-810B-C5FD0757E1E8}">
    <text>Ctac Thượng Hải</text>
  </threadedComment>
  <threadedComment ref="AH35" dT="2026-07-03T07:49:36.85" personId="{0567AAC0-2D77-4A1B-B57F-F1E2FBED2F25}" id="{C7C42C06-6B2B-4AE3-A810-011A0FD69CAE}">
    <text>Ctac Thượng Hải</text>
  </threadedComment>
  <threadedComment ref="AE77" dT="2026-07-03T07:42:45.12" personId="{0567AAC0-2D77-4A1B-B57F-F1E2FBED2F25}" id="{5A0F18E6-D38F-4086-B3ED-61328A1AC8B7}">
    <text>Công tác Thượng Hải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8D88-6676-48C4-B1CB-0E22E9C787CE}">
  <sheetPr codeName="Sheet2"/>
  <dimension ref="A1:T163"/>
  <sheetViews>
    <sheetView zoomScaleNormal="100" workbookViewId="0">
      <pane xSplit="3" ySplit="3" topLeftCell="K20" activePane="bottomRight" state="frozen"/>
      <selection pane="topRight" activeCell="D1" sqref="D1"/>
      <selection pane="bottomLeft" activeCell="A3" sqref="A3"/>
      <selection pane="bottomRight" activeCell="T41" sqref="T41"/>
    </sheetView>
  </sheetViews>
  <sheetFormatPr defaultColWidth="9.140625" defaultRowHeight="15" x14ac:dyDescent="0.25"/>
  <cols>
    <col min="1" max="1" width="5.28515625" style="177" customWidth="1"/>
    <col min="2" max="2" width="11.42578125" style="177" customWidth="1"/>
    <col min="3" max="3" width="26" style="177" customWidth="1"/>
    <col min="4" max="4" width="10.42578125" style="177" bestFit="1" customWidth="1"/>
    <col min="5" max="5" width="17.7109375" style="177" customWidth="1"/>
    <col min="6" max="7" width="15.42578125" style="177" customWidth="1"/>
    <col min="8" max="15" width="15.42578125" style="179" customWidth="1"/>
    <col min="16" max="17" width="17.5703125" style="179" customWidth="1"/>
    <col min="18" max="18" width="17.42578125" style="179" customWidth="1"/>
    <col min="19" max="19" width="23.85546875" style="179" bestFit="1" customWidth="1"/>
    <col min="20" max="20" width="21.85546875" style="96" customWidth="1"/>
    <col min="21" max="16384" width="9.140625" style="96"/>
  </cols>
  <sheetData>
    <row r="1" spans="1:20" s="97" customFormat="1" ht="42.75" x14ac:dyDescent="0.25">
      <c r="A1" s="180" t="s">
        <v>2</v>
      </c>
      <c r="B1" s="180" t="s">
        <v>196</v>
      </c>
      <c r="C1" s="180" t="s">
        <v>168</v>
      </c>
      <c r="D1" s="180" t="s">
        <v>197</v>
      </c>
      <c r="E1" s="180" t="s">
        <v>169</v>
      </c>
      <c r="F1" s="180" t="s">
        <v>198</v>
      </c>
      <c r="G1" s="180" t="s">
        <v>326</v>
      </c>
      <c r="H1" s="181" t="s">
        <v>199</v>
      </c>
      <c r="I1" s="181" t="s">
        <v>188</v>
      </c>
      <c r="J1" s="181" t="s">
        <v>189</v>
      </c>
      <c r="K1" s="181" t="s">
        <v>190</v>
      </c>
      <c r="L1" s="181" t="s">
        <v>191</v>
      </c>
      <c r="M1" s="181" t="s">
        <v>192</v>
      </c>
      <c r="N1" s="181" t="s">
        <v>193</v>
      </c>
      <c r="O1" s="181" t="s">
        <v>201</v>
      </c>
      <c r="P1" s="395" t="s">
        <v>195</v>
      </c>
      <c r="Q1" s="396"/>
      <c r="R1" s="181" t="s">
        <v>194</v>
      </c>
      <c r="S1" s="181" t="s">
        <v>233</v>
      </c>
    </row>
    <row r="2" spans="1:20" s="97" customFormat="1" x14ac:dyDescent="0.25">
      <c r="A2" s="180"/>
      <c r="B2" s="180"/>
      <c r="C2" s="180"/>
      <c r="D2" s="180"/>
      <c r="E2" s="180"/>
      <c r="F2" s="180"/>
      <c r="G2" s="180"/>
      <c r="H2" s="181"/>
      <c r="I2" s="181"/>
      <c r="J2" s="181"/>
      <c r="K2" s="181"/>
      <c r="L2" s="181"/>
      <c r="M2" s="181"/>
      <c r="N2" s="181"/>
      <c r="O2" s="181"/>
      <c r="P2" s="181" t="s">
        <v>241</v>
      </c>
      <c r="Q2" s="181" t="s">
        <v>336</v>
      </c>
      <c r="R2" s="181"/>
      <c r="S2" s="181"/>
    </row>
    <row r="3" spans="1:20" s="97" customFormat="1" x14ac:dyDescent="0.25">
      <c r="A3" s="175"/>
      <c r="B3" s="175">
        <v>1</v>
      </c>
      <c r="C3" s="175">
        <v>2</v>
      </c>
      <c r="D3" s="175">
        <v>3</v>
      </c>
      <c r="E3" s="175">
        <v>4</v>
      </c>
      <c r="F3" s="175">
        <v>5</v>
      </c>
      <c r="G3" s="175">
        <v>6</v>
      </c>
      <c r="H3" s="175">
        <v>7</v>
      </c>
      <c r="I3" s="175">
        <v>8</v>
      </c>
      <c r="J3" s="175">
        <v>9</v>
      </c>
      <c r="K3" s="175">
        <v>10</v>
      </c>
      <c r="L3" s="175">
        <v>11</v>
      </c>
      <c r="M3" s="175">
        <v>12</v>
      </c>
      <c r="N3" s="175">
        <v>13</v>
      </c>
      <c r="O3" s="175">
        <v>14</v>
      </c>
      <c r="P3" s="175">
        <v>15</v>
      </c>
      <c r="Q3" s="175">
        <v>16</v>
      </c>
      <c r="R3" s="175">
        <v>17</v>
      </c>
      <c r="S3" s="175">
        <v>18</v>
      </c>
    </row>
    <row r="4" spans="1:20" ht="21.75" customHeight="1" x14ac:dyDescent="0.25">
      <c r="A4" s="176">
        <v>1</v>
      </c>
      <c r="B4" s="176" t="s">
        <v>8</v>
      </c>
      <c r="C4" s="218" t="s">
        <v>9</v>
      </c>
      <c r="D4" s="176" t="s">
        <v>49</v>
      </c>
      <c r="E4" s="176" t="s">
        <v>296</v>
      </c>
      <c r="F4" s="176" t="s">
        <v>112</v>
      </c>
      <c r="G4" s="176"/>
      <c r="H4" s="178">
        <f>+IF($D4="HĐTV","",I4+J4)</f>
        <v>18000000</v>
      </c>
      <c r="I4" s="178">
        <v>15000000</v>
      </c>
      <c r="J4" s="316">
        <v>3000000</v>
      </c>
      <c r="K4" s="316">
        <v>2600000</v>
      </c>
      <c r="L4" s="316">
        <v>0</v>
      </c>
      <c r="M4" s="316">
        <v>4000000</v>
      </c>
      <c r="N4" s="316">
        <v>400000</v>
      </c>
      <c r="O4" s="178">
        <f>SUM(I4:N4)</f>
        <v>25000000</v>
      </c>
      <c r="P4" s="178"/>
      <c r="Q4" s="178"/>
      <c r="R4" s="178">
        <v>0</v>
      </c>
      <c r="S4" s="178">
        <v>0</v>
      </c>
    </row>
    <row r="5" spans="1:20" ht="21.75" customHeight="1" x14ac:dyDescent="0.25">
      <c r="A5" s="176">
        <v>2</v>
      </c>
      <c r="B5" s="176" t="s">
        <v>10</v>
      </c>
      <c r="C5" s="218" t="s">
        <v>11</v>
      </c>
      <c r="D5" s="176" t="s">
        <v>49</v>
      </c>
      <c r="E5" s="176" t="s">
        <v>50</v>
      </c>
      <c r="F5" s="176" t="s">
        <v>112</v>
      </c>
      <c r="G5" s="176"/>
      <c r="H5" s="178">
        <f t="shared" ref="H5:H43" si="0">+IF($D5="HĐTV","",I5+J5)</f>
        <v>14000000</v>
      </c>
      <c r="I5" s="178">
        <v>12000000</v>
      </c>
      <c r="J5" s="316">
        <v>2000000</v>
      </c>
      <c r="K5" s="316">
        <v>2000000</v>
      </c>
      <c r="L5" s="316">
        <v>1000000</v>
      </c>
      <c r="M5" s="316">
        <v>2600000</v>
      </c>
      <c r="N5" s="316">
        <v>400000</v>
      </c>
      <c r="O5" s="178">
        <f t="shared" ref="O5:O28" si="1">SUM(I5:N5)</f>
        <v>20000000</v>
      </c>
      <c r="P5" s="178"/>
      <c r="Q5" s="178"/>
      <c r="R5" s="178"/>
      <c r="S5" s="178"/>
    </row>
    <row r="6" spans="1:20" ht="21.75" customHeight="1" x14ac:dyDescent="0.25">
      <c r="A6" s="176">
        <v>3</v>
      </c>
      <c r="B6" s="176" t="s">
        <v>19</v>
      </c>
      <c r="C6" s="218" t="s">
        <v>20</v>
      </c>
      <c r="D6" s="176" t="s">
        <v>49</v>
      </c>
      <c r="E6" s="176" t="s">
        <v>51</v>
      </c>
      <c r="F6" s="176" t="s">
        <v>55</v>
      </c>
      <c r="G6" s="176"/>
      <c r="H6" s="178">
        <f t="shared" si="0"/>
        <v>8500000</v>
      </c>
      <c r="I6" s="178">
        <v>7500000</v>
      </c>
      <c r="J6" s="316">
        <v>1000000</v>
      </c>
      <c r="K6" s="316">
        <v>1800000</v>
      </c>
      <c r="L6" s="316">
        <v>500000</v>
      </c>
      <c r="M6" s="316">
        <v>400000</v>
      </c>
      <c r="N6" s="316">
        <v>400000</v>
      </c>
      <c r="O6" s="178">
        <f t="shared" si="1"/>
        <v>11600000</v>
      </c>
      <c r="P6" s="178"/>
      <c r="Q6" s="178"/>
      <c r="R6" s="178"/>
      <c r="S6" s="178"/>
    </row>
    <row r="7" spans="1:20" ht="21.75" customHeight="1" x14ac:dyDescent="0.25">
      <c r="A7" s="176">
        <v>4</v>
      </c>
      <c r="B7" s="176" t="s">
        <v>161</v>
      </c>
      <c r="C7" s="218" t="s">
        <v>12</v>
      </c>
      <c r="D7" s="176" t="s">
        <v>49</v>
      </c>
      <c r="E7" s="176" t="s">
        <v>51</v>
      </c>
      <c r="F7" s="176" t="s">
        <v>52</v>
      </c>
      <c r="G7" s="176"/>
      <c r="H7" s="178">
        <f t="shared" si="0"/>
        <v>8500000</v>
      </c>
      <c r="I7" s="178">
        <v>7500000</v>
      </c>
      <c r="J7" s="316">
        <v>1000000</v>
      </c>
      <c r="K7" s="316">
        <v>1800000</v>
      </c>
      <c r="L7" s="316">
        <v>500000</v>
      </c>
      <c r="M7" s="316">
        <v>400000</v>
      </c>
      <c r="N7" s="316">
        <v>400000</v>
      </c>
      <c r="O7" s="178">
        <f t="shared" si="1"/>
        <v>11600000</v>
      </c>
      <c r="P7" s="178"/>
      <c r="Q7" s="178"/>
      <c r="R7" s="178"/>
      <c r="S7" s="178"/>
    </row>
    <row r="8" spans="1:20" ht="21.75" customHeight="1" x14ac:dyDescent="0.25">
      <c r="A8" s="176">
        <v>5</v>
      </c>
      <c r="B8" s="176" t="s">
        <v>13</v>
      </c>
      <c r="C8" s="218" t="s">
        <v>14</v>
      </c>
      <c r="D8" s="176" t="s">
        <v>49</v>
      </c>
      <c r="E8" s="176" t="s">
        <v>53</v>
      </c>
      <c r="F8" s="176" t="s">
        <v>52</v>
      </c>
      <c r="G8" s="176"/>
      <c r="H8" s="178">
        <f t="shared" si="0"/>
        <v>8000000</v>
      </c>
      <c r="I8" s="178">
        <v>7000000</v>
      </c>
      <c r="J8" s="316">
        <v>1000000</v>
      </c>
      <c r="K8" s="316">
        <v>1300000</v>
      </c>
      <c r="L8" s="316">
        <v>500000</v>
      </c>
      <c r="M8" s="316">
        <v>400000</v>
      </c>
      <c r="N8" s="316">
        <v>400000</v>
      </c>
      <c r="O8" s="178">
        <f t="shared" si="1"/>
        <v>10600000</v>
      </c>
      <c r="P8" s="178"/>
      <c r="Q8" s="178"/>
      <c r="R8" s="178"/>
      <c r="S8" s="178"/>
    </row>
    <row r="9" spans="1:20" ht="21.75" customHeight="1" x14ac:dyDescent="0.25">
      <c r="A9" s="176">
        <v>6</v>
      </c>
      <c r="B9" s="176" t="s">
        <v>21</v>
      </c>
      <c r="C9" s="218" t="s">
        <v>22</v>
      </c>
      <c r="D9" s="176" t="s">
        <v>49</v>
      </c>
      <c r="E9" s="176" t="s">
        <v>53</v>
      </c>
      <c r="F9" s="176" t="s">
        <v>55</v>
      </c>
      <c r="G9" s="176"/>
      <c r="H9" s="178">
        <f t="shared" si="0"/>
        <v>8000000</v>
      </c>
      <c r="I9" s="178">
        <v>7000000</v>
      </c>
      <c r="J9" s="316">
        <v>1000000</v>
      </c>
      <c r="K9" s="316">
        <v>1300000</v>
      </c>
      <c r="L9" s="316">
        <v>500000</v>
      </c>
      <c r="M9" s="316">
        <v>400000</v>
      </c>
      <c r="N9" s="316">
        <v>400000</v>
      </c>
      <c r="O9" s="178">
        <f t="shared" si="1"/>
        <v>10600000</v>
      </c>
      <c r="P9" s="178"/>
      <c r="Q9" s="178"/>
      <c r="R9" s="178"/>
      <c r="S9" s="178"/>
    </row>
    <row r="10" spans="1:20" ht="21.75" customHeight="1" x14ac:dyDescent="0.25">
      <c r="A10" s="176">
        <v>7</v>
      </c>
      <c r="B10" s="176" t="s">
        <v>27</v>
      </c>
      <c r="C10" s="218" t="s">
        <v>28</v>
      </c>
      <c r="D10" s="176" t="s">
        <v>49</v>
      </c>
      <c r="E10" s="176" t="s">
        <v>51</v>
      </c>
      <c r="F10" s="176" t="s">
        <v>59</v>
      </c>
      <c r="G10" s="176"/>
      <c r="H10" s="178">
        <f t="shared" si="0"/>
        <v>8500000</v>
      </c>
      <c r="I10" s="178">
        <v>7500000</v>
      </c>
      <c r="J10" s="316">
        <v>1000000</v>
      </c>
      <c r="K10" s="316">
        <v>1800000</v>
      </c>
      <c r="L10" s="316">
        <v>500000</v>
      </c>
      <c r="M10" s="316">
        <v>400000</v>
      </c>
      <c r="N10" s="316">
        <v>400000</v>
      </c>
      <c r="O10" s="178">
        <f t="shared" si="1"/>
        <v>11600000</v>
      </c>
      <c r="P10" s="178"/>
      <c r="Q10" s="178"/>
      <c r="R10" s="178"/>
      <c r="S10" s="178"/>
    </row>
    <row r="11" spans="1:20" ht="21.75" customHeight="1" x14ac:dyDescent="0.25">
      <c r="A11" s="176">
        <v>8</v>
      </c>
      <c r="B11" s="176" t="s">
        <v>29</v>
      </c>
      <c r="C11" s="218" t="s">
        <v>30</v>
      </c>
      <c r="D11" s="176" t="s">
        <v>49</v>
      </c>
      <c r="E11" s="176" t="s">
        <v>53</v>
      </c>
      <c r="F11" s="176" t="s">
        <v>59</v>
      </c>
      <c r="G11" s="176"/>
      <c r="H11" s="178">
        <f t="shared" si="0"/>
        <v>8000000</v>
      </c>
      <c r="I11" s="178">
        <v>7000000</v>
      </c>
      <c r="J11" s="178">
        <v>1000000</v>
      </c>
      <c r="K11" s="178">
        <v>1300000</v>
      </c>
      <c r="L11" s="178">
        <v>500000</v>
      </c>
      <c r="M11" s="200">
        <v>400000</v>
      </c>
      <c r="N11" s="200">
        <v>400000</v>
      </c>
      <c r="O11" s="178">
        <f t="shared" si="1"/>
        <v>10600000</v>
      </c>
      <c r="P11" s="178"/>
      <c r="Q11" s="178"/>
      <c r="R11" s="178"/>
      <c r="S11" s="178"/>
    </row>
    <row r="12" spans="1:20" ht="21.75" customHeight="1" x14ac:dyDescent="0.25">
      <c r="A12" s="176">
        <v>9</v>
      </c>
      <c r="B12" s="176" t="s">
        <v>43</v>
      </c>
      <c r="C12" s="218" t="s">
        <v>44</v>
      </c>
      <c r="D12" s="176" t="s">
        <v>49</v>
      </c>
      <c r="E12" s="176" t="s">
        <v>56</v>
      </c>
      <c r="F12" s="176" t="s">
        <v>57</v>
      </c>
      <c r="G12" s="176"/>
      <c r="H12" s="178">
        <f t="shared" si="0"/>
        <v>8500000</v>
      </c>
      <c r="I12" s="178">
        <v>7500000</v>
      </c>
      <c r="J12" s="178">
        <v>1000000</v>
      </c>
      <c r="K12" s="178">
        <v>1800000</v>
      </c>
      <c r="L12" s="178">
        <v>500000</v>
      </c>
      <c r="M12" s="200">
        <v>300000</v>
      </c>
      <c r="N12" s="200">
        <v>400000</v>
      </c>
      <c r="O12" s="178">
        <f t="shared" si="1"/>
        <v>11500000</v>
      </c>
      <c r="P12" s="178"/>
      <c r="Q12" s="178"/>
      <c r="R12" s="178"/>
      <c r="S12" s="178"/>
      <c r="T12" s="96" t="s">
        <v>344</v>
      </c>
    </row>
    <row r="13" spans="1:20" ht="21.75" customHeight="1" x14ac:dyDescent="0.25">
      <c r="A13" s="176">
        <v>10</v>
      </c>
      <c r="B13" s="176" t="s">
        <v>23</v>
      </c>
      <c r="C13" s="218" t="s">
        <v>24</v>
      </c>
      <c r="D13" s="176" t="s">
        <v>49</v>
      </c>
      <c r="E13" s="176" t="s">
        <v>155</v>
      </c>
      <c r="F13" s="176" t="s">
        <v>55</v>
      </c>
      <c r="G13" s="176"/>
      <c r="H13" s="178">
        <f t="shared" si="0"/>
        <v>8000000</v>
      </c>
      <c r="I13" s="178">
        <v>7000000</v>
      </c>
      <c r="J13" s="178">
        <v>1000000</v>
      </c>
      <c r="K13" s="178">
        <v>1300000</v>
      </c>
      <c r="L13" s="178">
        <v>500000</v>
      </c>
      <c r="M13" s="200">
        <v>400000</v>
      </c>
      <c r="N13" s="200">
        <v>400000</v>
      </c>
      <c r="O13" s="178">
        <f t="shared" si="1"/>
        <v>10600000</v>
      </c>
      <c r="P13" s="178"/>
      <c r="Q13" s="178"/>
      <c r="R13" s="178"/>
      <c r="S13" s="178"/>
    </row>
    <row r="14" spans="1:20" ht="21.75" customHeight="1" x14ac:dyDescent="0.25">
      <c r="A14" s="176">
        <v>11</v>
      </c>
      <c r="B14" s="176" t="s">
        <v>15</v>
      </c>
      <c r="C14" s="218" t="s">
        <v>16</v>
      </c>
      <c r="D14" s="176" t="s">
        <v>49</v>
      </c>
      <c r="E14" s="176" t="s">
        <v>54</v>
      </c>
      <c r="F14" s="176" t="s">
        <v>52</v>
      </c>
      <c r="G14" s="176"/>
      <c r="H14" s="178">
        <f t="shared" si="0"/>
        <v>7000000</v>
      </c>
      <c r="I14" s="178">
        <v>6500000</v>
      </c>
      <c r="J14" s="178">
        <v>500000</v>
      </c>
      <c r="K14" s="178">
        <v>1000000</v>
      </c>
      <c r="L14" s="178">
        <v>500000</v>
      </c>
      <c r="M14" s="200">
        <v>300000</v>
      </c>
      <c r="N14" s="200">
        <v>400000</v>
      </c>
      <c r="O14" s="178">
        <f t="shared" si="1"/>
        <v>9200000</v>
      </c>
      <c r="P14" s="178"/>
      <c r="Q14" s="178"/>
      <c r="R14" s="178"/>
      <c r="S14" s="178"/>
    </row>
    <row r="15" spans="1:20" ht="21.75" customHeight="1" x14ac:dyDescent="0.25">
      <c r="A15" s="176">
        <v>12</v>
      </c>
      <c r="B15" s="176" t="s">
        <v>17</v>
      </c>
      <c r="C15" s="218" t="s">
        <v>18</v>
      </c>
      <c r="D15" s="176" t="s">
        <v>49</v>
      </c>
      <c r="E15" s="176" t="s">
        <v>54</v>
      </c>
      <c r="F15" s="176" t="s">
        <v>52</v>
      </c>
      <c r="G15" s="176"/>
      <c r="H15" s="178">
        <f t="shared" si="0"/>
        <v>7000000</v>
      </c>
      <c r="I15" s="178">
        <v>6500000</v>
      </c>
      <c r="J15" s="178">
        <v>500000</v>
      </c>
      <c r="K15" s="178">
        <v>1000000</v>
      </c>
      <c r="L15" s="178">
        <v>500000</v>
      </c>
      <c r="M15" s="200">
        <v>300000</v>
      </c>
      <c r="N15" s="200">
        <v>400000</v>
      </c>
      <c r="O15" s="178">
        <f t="shared" si="1"/>
        <v>9200000</v>
      </c>
      <c r="P15" s="178"/>
      <c r="Q15" s="178"/>
      <c r="R15" s="178"/>
      <c r="S15" s="178"/>
    </row>
    <row r="16" spans="1:20" ht="21.75" customHeight="1" x14ac:dyDescent="0.25">
      <c r="A16" s="176">
        <v>13</v>
      </c>
      <c r="B16" s="176" t="s">
        <v>45</v>
      </c>
      <c r="C16" s="218" t="s">
        <v>46</v>
      </c>
      <c r="D16" s="176" t="s">
        <v>49</v>
      </c>
      <c r="E16" s="176" t="s">
        <v>60</v>
      </c>
      <c r="F16" s="176" t="s">
        <v>59</v>
      </c>
      <c r="G16" s="176"/>
      <c r="H16" s="178">
        <f t="shared" si="0"/>
        <v>8500000</v>
      </c>
      <c r="I16" s="178">
        <v>7500000</v>
      </c>
      <c r="J16" s="178">
        <v>1000000</v>
      </c>
      <c r="K16" s="178">
        <v>1800000</v>
      </c>
      <c r="L16" s="178">
        <v>500000</v>
      </c>
      <c r="M16" s="200">
        <v>300000</v>
      </c>
      <c r="N16" s="200">
        <v>400000</v>
      </c>
      <c r="O16" s="178">
        <f t="shared" si="1"/>
        <v>11500000</v>
      </c>
      <c r="P16" s="178"/>
      <c r="Q16" s="178"/>
      <c r="R16" s="178"/>
      <c r="S16" s="178"/>
    </row>
    <row r="17" spans="1:19" ht="21.75" customHeight="1" x14ac:dyDescent="0.25">
      <c r="A17" s="176">
        <v>14</v>
      </c>
      <c r="B17" s="176" t="s">
        <v>31</v>
      </c>
      <c r="C17" s="218" t="s">
        <v>32</v>
      </c>
      <c r="D17" s="176" t="s">
        <v>49</v>
      </c>
      <c r="E17" s="176" t="s">
        <v>54</v>
      </c>
      <c r="F17" s="176" t="s">
        <v>59</v>
      </c>
      <c r="G17" s="176"/>
      <c r="H17" s="178">
        <f t="shared" si="0"/>
        <v>7000000</v>
      </c>
      <c r="I17" s="178">
        <v>6500000</v>
      </c>
      <c r="J17" s="178">
        <v>500000</v>
      </c>
      <c r="K17" s="178">
        <v>1000000</v>
      </c>
      <c r="L17" s="178">
        <v>500000</v>
      </c>
      <c r="M17" s="200">
        <v>300000</v>
      </c>
      <c r="N17" s="200">
        <v>400000</v>
      </c>
      <c r="O17" s="178">
        <f t="shared" si="1"/>
        <v>9200000</v>
      </c>
      <c r="P17" s="178"/>
      <c r="Q17" s="178"/>
      <c r="R17" s="178"/>
      <c r="S17" s="178"/>
    </row>
    <row r="18" spans="1:19" ht="21.75" customHeight="1" x14ac:dyDescent="0.25">
      <c r="A18" s="176">
        <v>15</v>
      </c>
      <c r="B18" s="176" t="s">
        <v>33</v>
      </c>
      <c r="C18" s="218" t="s">
        <v>34</v>
      </c>
      <c r="D18" s="176" t="s">
        <v>49</v>
      </c>
      <c r="E18" s="176" t="s">
        <v>54</v>
      </c>
      <c r="F18" s="176" t="s">
        <v>59</v>
      </c>
      <c r="G18" s="176"/>
      <c r="H18" s="178">
        <f t="shared" si="0"/>
        <v>7000000</v>
      </c>
      <c r="I18" s="178">
        <v>6500000</v>
      </c>
      <c r="J18" s="178">
        <v>500000</v>
      </c>
      <c r="K18" s="178">
        <v>1000000</v>
      </c>
      <c r="L18" s="178">
        <v>500000</v>
      </c>
      <c r="M18" s="200">
        <v>300000</v>
      </c>
      <c r="N18" s="200">
        <v>400000</v>
      </c>
      <c r="O18" s="178">
        <f t="shared" si="1"/>
        <v>9200000</v>
      </c>
      <c r="P18" s="178"/>
      <c r="Q18" s="178"/>
      <c r="R18" s="178"/>
      <c r="S18" s="178"/>
    </row>
    <row r="19" spans="1:19" ht="21.75" customHeight="1" x14ac:dyDescent="0.25">
      <c r="A19" s="176">
        <v>16</v>
      </c>
      <c r="B19" s="176" t="s">
        <v>35</v>
      </c>
      <c r="C19" s="218" t="s">
        <v>36</v>
      </c>
      <c r="D19" s="176" t="s">
        <v>49</v>
      </c>
      <c r="E19" s="176" t="s">
        <v>54</v>
      </c>
      <c r="F19" s="176" t="s">
        <v>59</v>
      </c>
      <c r="G19" s="176"/>
      <c r="H19" s="178">
        <f t="shared" si="0"/>
        <v>7000000</v>
      </c>
      <c r="I19" s="178">
        <v>6500000</v>
      </c>
      <c r="J19" s="178">
        <v>500000</v>
      </c>
      <c r="K19" s="178">
        <v>1000000</v>
      </c>
      <c r="L19" s="178">
        <v>500000</v>
      </c>
      <c r="M19" s="200">
        <v>300000</v>
      </c>
      <c r="N19" s="200">
        <v>400000</v>
      </c>
      <c r="O19" s="178">
        <f t="shared" si="1"/>
        <v>9200000</v>
      </c>
      <c r="P19" s="178"/>
      <c r="Q19" s="178"/>
      <c r="R19" s="178"/>
      <c r="S19" s="178"/>
    </row>
    <row r="20" spans="1:19" ht="21.75" customHeight="1" x14ac:dyDescent="0.25">
      <c r="A20" s="176">
        <v>17</v>
      </c>
      <c r="B20" s="176" t="s">
        <v>37</v>
      </c>
      <c r="C20" s="218" t="s">
        <v>38</v>
      </c>
      <c r="D20" s="176" t="s">
        <v>49</v>
      </c>
      <c r="E20" s="176" t="s">
        <v>54</v>
      </c>
      <c r="F20" s="176" t="s">
        <v>59</v>
      </c>
      <c r="G20" s="176"/>
      <c r="H20" s="178">
        <f t="shared" si="0"/>
        <v>7000000</v>
      </c>
      <c r="I20" s="178">
        <v>6500000</v>
      </c>
      <c r="J20" s="178">
        <v>500000</v>
      </c>
      <c r="K20" s="178">
        <v>1000000</v>
      </c>
      <c r="L20" s="178">
        <v>500000</v>
      </c>
      <c r="M20" s="200">
        <v>300000</v>
      </c>
      <c r="N20" s="200">
        <v>400000</v>
      </c>
      <c r="O20" s="178">
        <f t="shared" si="1"/>
        <v>9200000</v>
      </c>
      <c r="P20" s="178"/>
      <c r="Q20" s="178"/>
      <c r="R20" s="178"/>
      <c r="S20" s="178"/>
    </row>
    <row r="21" spans="1:19" ht="21.75" customHeight="1" x14ac:dyDescent="0.25">
      <c r="A21" s="176">
        <v>18</v>
      </c>
      <c r="B21" s="176" t="s">
        <v>25</v>
      </c>
      <c r="C21" s="218" t="s">
        <v>26</v>
      </c>
      <c r="D21" s="176" t="s">
        <v>49</v>
      </c>
      <c r="E21" s="176" t="s">
        <v>54</v>
      </c>
      <c r="F21" s="176" t="s">
        <v>55</v>
      </c>
      <c r="G21" s="176"/>
      <c r="H21" s="178">
        <f t="shared" si="0"/>
        <v>7000000</v>
      </c>
      <c r="I21" s="178">
        <v>6500000</v>
      </c>
      <c r="J21" s="178">
        <v>500000</v>
      </c>
      <c r="K21" s="178">
        <v>1000000</v>
      </c>
      <c r="L21" s="178">
        <v>1000000</v>
      </c>
      <c r="M21" s="200">
        <v>500000</v>
      </c>
      <c r="N21" s="200">
        <v>400000</v>
      </c>
      <c r="O21" s="178">
        <f t="shared" si="1"/>
        <v>9900000</v>
      </c>
      <c r="P21" s="178"/>
      <c r="Q21" s="178"/>
      <c r="R21" s="178"/>
      <c r="S21" s="178"/>
    </row>
    <row r="22" spans="1:19" ht="21.75" customHeight="1" x14ac:dyDescent="0.25">
      <c r="A22" s="176">
        <v>19</v>
      </c>
      <c r="B22" s="176" t="s">
        <v>47</v>
      </c>
      <c r="C22" s="218" t="s">
        <v>48</v>
      </c>
      <c r="D22" s="176" t="s">
        <v>49</v>
      </c>
      <c r="E22" s="176" t="s">
        <v>61</v>
      </c>
      <c r="F22" s="176" t="s">
        <v>59</v>
      </c>
      <c r="G22" s="176"/>
      <c r="H22" s="178">
        <f t="shared" si="0"/>
        <v>8500000</v>
      </c>
      <c r="I22" s="178">
        <v>7500000</v>
      </c>
      <c r="J22" s="178">
        <v>1000000</v>
      </c>
      <c r="K22" s="200">
        <v>1800000</v>
      </c>
      <c r="L22" s="178">
        <v>500000</v>
      </c>
      <c r="M22" s="200">
        <v>300000</v>
      </c>
      <c r="N22" s="200">
        <v>400000</v>
      </c>
      <c r="O22" s="178">
        <f t="shared" si="1"/>
        <v>11500000</v>
      </c>
      <c r="P22" s="178"/>
      <c r="Q22" s="178"/>
      <c r="R22" s="178"/>
      <c r="S22" s="178"/>
    </row>
    <row r="23" spans="1:19" ht="21.75" customHeight="1" x14ac:dyDescent="0.25">
      <c r="A23" s="176">
        <v>20</v>
      </c>
      <c r="B23" s="176" t="s">
        <v>39</v>
      </c>
      <c r="C23" s="218" t="s">
        <v>40</v>
      </c>
      <c r="D23" s="176" t="s">
        <v>49</v>
      </c>
      <c r="E23" s="176" t="s">
        <v>54</v>
      </c>
      <c r="F23" s="176" t="s">
        <v>59</v>
      </c>
      <c r="G23" s="176"/>
      <c r="H23" s="178">
        <f t="shared" si="0"/>
        <v>7000000</v>
      </c>
      <c r="I23" s="178">
        <v>6500000</v>
      </c>
      <c r="J23" s="178">
        <v>500000</v>
      </c>
      <c r="K23" s="178">
        <v>1000000</v>
      </c>
      <c r="L23" s="178">
        <v>500000</v>
      </c>
      <c r="M23" s="200">
        <v>300000</v>
      </c>
      <c r="N23" s="200">
        <v>400000</v>
      </c>
      <c r="O23" s="178">
        <f t="shared" si="1"/>
        <v>9200000</v>
      </c>
      <c r="P23" s="178"/>
      <c r="Q23" s="178"/>
      <c r="R23" s="178"/>
      <c r="S23" s="178"/>
    </row>
    <row r="24" spans="1:19" ht="21.75" customHeight="1" x14ac:dyDescent="0.25">
      <c r="A24" s="176">
        <v>21</v>
      </c>
      <c r="B24" s="176" t="s">
        <v>41</v>
      </c>
      <c r="C24" s="218" t="s">
        <v>42</v>
      </c>
      <c r="D24" s="176" t="s">
        <v>49</v>
      </c>
      <c r="E24" s="176" t="s">
        <v>54</v>
      </c>
      <c r="F24" s="176" t="s">
        <v>59</v>
      </c>
      <c r="G24" s="176"/>
      <c r="H24" s="178">
        <f t="shared" si="0"/>
        <v>7000000</v>
      </c>
      <c r="I24" s="178">
        <v>6500000</v>
      </c>
      <c r="J24" s="178">
        <v>500000</v>
      </c>
      <c r="K24" s="178">
        <v>1000000</v>
      </c>
      <c r="L24" s="178">
        <v>500000</v>
      </c>
      <c r="M24" s="200">
        <v>300000</v>
      </c>
      <c r="N24" s="200">
        <v>400000</v>
      </c>
      <c r="O24" s="178">
        <f t="shared" si="1"/>
        <v>9200000</v>
      </c>
      <c r="P24" s="178"/>
      <c r="Q24" s="178"/>
      <c r="R24" s="178"/>
      <c r="S24" s="178"/>
    </row>
    <row r="25" spans="1:19" ht="21.75" customHeight="1" x14ac:dyDescent="0.25">
      <c r="A25" s="176">
        <v>22</v>
      </c>
      <c r="B25" s="176" t="s">
        <v>171</v>
      </c>
      <c r="C25" s="218" t="s">
        <v>108</v>
      </c>
      <c r="D25" s="176" t="s">
        <v>49</v>
      </c>
      <c r="E25" s="176" t="s">
        <v>51</v>
      </c>
      <c r="F25" s="176" t="s">
        <v>200</v>
      </c>
      <c r="G25" s="176"/>
      <c r="H25" s="178">
        <f t="shared" si="0"/>
        <v>8500000</v>
      </c>
      <c r="I25" s="178">
        <v>7500000</v>
      </c>
      <c r="J25" s="178">
        <v>1000000</v>
      </c>
      <c r="K25" s="178">
        <v>1800000</v>
      </c>
      <c r="L25" s="178">
        <v>500000</v>
      </c>
      <c r="M25" s="200">
        <v>400000</v>
      </c>
      <c r="N25" s="200">
        <v>400000</v>
      </c>
      <c r="O25" s="178">
        <f t="shared" si="1"/>
        <v>11600000</v>
      </c>
      <c r="P25" s="178">
        <v>500000</v>
      </c>
      <c r="Q25" s="178"/>
      <c r="R25" s="178"/>
      <c r="S25" s="178"/>
    </row>
    <row r="26" spans="1:19" ht="21.75" customHeight="1" x14ac:dyDescent="0.25">
      <c r="A26" s="176">
        <v>23</v>
      </c>
      <c r="B26" s="176" t="s">
        <v>182</v>
      </c>
      <c r="C26" s="218" t="s">
        <v>107</v>
      </c>
      <c r="D26" s="176" t="s">
        <v>49</v>
      </c>
      <c r="E26" s="176" t="s">
        <v>54</v>
      </c>
      <c r="F26" s="176" t="s">
        <v>59</v>
      </c>
      <c r="G26" s="176"/>
      <c r="H26" s="178">
        <f t="shared" si="0"/>
        <v>7000000</v>
      </c>
      <c r="I26" s="178">
        <v>6500000</v>
      </c>
      <c r="J26" s="178">
        <v>500000</v>
      </c>
      <c r="K26" s="178">
        <v>1000000</v>
      </c>
      <c r="L26" s="178">
        <v>500000</v>
      </c>
      <c r="M26" s="200">
        <v>300000</v>
      </c>
      <c r="N26" s="200">
        <v>400000</v>
      </c>
      <c r="O26" s="178">
        <f t="shared" si="1"/>
        <v>9200000</v>
      </c>
      <c r="P26" s="178"/>
      <c r="Q26" s="178"/>
      <c r="R26" s="178"/>
      <c r="S26" s="178"/>
    </row>
    <row r="27" spans="1:19" ht="21.75" customHeight="1" x14ac:dyDescent="0.25">
      <c r="A27" s="176">
        <v>24</v>
      </c>
      <c r="B27" s="176" t="s">
        <v>183</v>
      </c>
      <c r="C27" s="218" t="s">
        <v>106</v>
      </c>
      <c r="D27" s="176" t="s">
        <v>49</v>
      </c>
      <c r="E27" s="176" t="s">
        <v>54</v>
      </c>
      <c r="F27" s="176" t="s">
        <v>59</v>
      </c>
      <c r="G27" s="176"/>
      <c r="H27" s="178">
        <f t="shared" si="0"/>
        <v>7000000</v>
      </c>
      <c r="I27" s="178">
        <v>6500000</v>
      </c>
      <c r="J27" s="178">
        <v>500000</v>
      </c>
      <c r="K27" s="178">
        <v>1000000</v>
      </c>
      <c r="L27" s="178">
        <v>500000</v>
      </c>
      <c r="M27" s="200">
        <v>300000</v>
      </c>
      <c r="N27" s="200">
        <v>400000</v>
      </c>
      <c r="O27" s="178">
        <f t="shared" si="1"/>
        <v>9200000</v>
      </c>
      <c r="P27" s="178"/>
      <c r="Q27" s="178"/>
      <c r="R27" s="178"/>
      <c r="S27" s="178"/>
    </row>
    <row r="28" spans="1:19" ht="21.75" customHeight="1" x14ac:dyDescent="0.25">
      <c r="A28" s="176">
        <v>25</v>
      </c>
      <c r="B28" s="176" t="s">
        <v>184</v>
      </c>
      <c r="C28" s="218" t="s">
        <v>105</v>
      </c>
      <c r="D28" s="176" t="s">
        <v>49</v>
      </c>
      <c r="E28" s="176" t="s">
        <v>54</v>
      </c>
      <c r="F28" s="176" t="s">
        <v>52</v>
      </c>
      <c r="G28" s="176"/>
      <c r="H28" s="178">
        <f t="shared" si="0"/>
        <v>7000000</v>
      </c>
      <c r="I28" s="178">
        <v>6500000</v>
      </c>
      <c r="J28" s="178">
        <v>500000</v>
      </c>
      <c r="K28" s="178">
        <v>1000000</v>
      </c>
      <c r="L28" s="178">
        <v>500000</v>
      </c>
      <c r="M28" s="200">
        <v>300000</v>
      </c>
      <c r="N28" s="200">
        <v>400000</v>
      </c>
      <c r="O28" s="178">
        <f t="shared" si="1"/>
        <v>9200000</v>
      </c>
      <c r="P28" s="178"/>
      <c r="Q28" s="178"/>
      <c r="R28" s="178"/>
      <c r="S28" s="178"/>
    </row>
    <row r="29" spans="1:19" s="295" customFormat="1" ht="21.75" customHeight="1" x14ac:dyDescent="0.25">
      <c r="A29" s="176">
        <v>26</v>
      </c>
      <c r="B29" s="293" t="s">
        <v>218</v>
      </c>
      <c r="C29" s="293" t="s">
        <v>226</v>
      </c>
      <c r="D29" s="293" t="s">
        <v>49</v>
      </c>
      <c r="E29" s="293" t="s">
        <v>227</v>
      </c>
      <c r="F29" s="293" t="s">
        <v>52</v>
      </c>
      <c r="G29" s="293"/>
      <c r="H29" s="294">
        <f t="shared" si="0"/>
        <v>6000000</v>
      </c>
      <c r="I29" s="294">
        <v>5500000</v>
      </c>
      <c r="J29" s="294">
        <v>500000</v>
      </c>
      <c r="K29" s="294">
        <v>1000000</v>
      </c>
      <c r="L29" s="294"/>
      <c r="M29" s="294">
        <v>200000</v>
      </c>
      <c r="N29" s="294">
        <v>300000</v>
      </c>
      <c r="O29" s="294">
        <f>SUM(I29:N29)</f>
        <v>7500000</v>
      </c>
      <c r="P29" s="178"/>
      <c r="Q29" s="294"/>
      <c r="R29" s="294"/>
      <c r="S29" s="294"/>
    </row>
    <row r="30" spans="1:19" s="295" customFormat="1" ht="21.75" customHeight="1" x14ac:dyDescent="0.25">
      <c r="A30" s="176">
        <v>27</v>
      </c>
      <c r="B30" s="293" t="s">
        <v>221</v>
      </c>
      <c r="C30" s="293" t="s">
        <v>228</v>
      </c>
      <c r="D30" s="293" t="s">
        <v>49</v>
      </c>
      <c r="E30" s="293" t="s">
        <v>54</v>
      </c>
      <c r="F30" s="293" t="s">
        <v>55</v>
      </c>
      <c r="G30" s="293"/>
      <c r="H30" s="294">
        <f t="shared" si="0"/>
        <v>7000000</v>
      </c>
      <c r="I30" s="294">
        <v>6500000</v>
      </c>
      <c r="J30" s="294">
        <v>500000</v>
      </c>
      <c r="K30" s="294">
        <v>1000000</v>
      </c>
      <c r="L30" s="294">
        <v>500000</v>
      </c>
      <c r="M30" s="294">
        <v>300000</v>
      </c>
      <c r="N30" s="294">
        <v>400000</v>
      </c>
      <c r="O30" s="294">
        <f t="shared" ref="O30:O35" si="2">SUM(I30:N30)</f>
        <v>9200000</v>
      </c>
      <c r="P30" s="178"/>
      <c r="Q30" s="294"/>
      <c r="R30" s="294"/>
      <c r="S30" s="294"/>
    </row>
    <row r="31" spans="1:19" s="295" customFormat="1" ht="21.75" customHeight="1" x14ac:dyDescent="0.25">
      <c r="A31" s="176">
        <v>28</v>
      </c>
      <c r="B31" s="293" t="s">
        <v>222</v>
      </c>
      <c r="C31" s="293" t="s">
        <v>229</v>
      </c>
      <c r="D31" s="293" t="s">
        <v>49</v>
      </c>
      <c r="E31" s="293" t="s">
        <v>54</v>
      </c>
      <c r="F31" s="293" t="s">
        <v>59</v>
      </c>
      <c r="G31" s="293"/>
      <c r="H31" s="294">
        <f t="shared" si="0"/>
        <v>7000000</v>
      </c>
      <c r="I31" s="294">
        <v>6500000</v>
      </c>
      <c r="J31" s="294">
        <v>500000</v>
      </c>
      <c r="K31" s="294">
        <v>1000000</v>
      </c>
      <c r="L31" s="294">
        <v>500000</v>
      </c>
      <c r="M31" s="294">
        <v>300000</v>
      </c>
      <c r="N31" s="294">
        <v>400000</v>
      </c>
      <c r="O31" s="294">
        <f t="shared" si="2"/>
        <v>9200000</v>
      </c>
      <c r="P31" s="178"/>
      <c r="Q31" s="294"/>
      <c r="R31" s="294"/>
      <c r="S31" s="294"/>
    </row>
    <row r="32" spans="1:19" s="295" customFormat="1" ht="21.75" customHeight="1" x14ac:dyDescent="0.25">
      <c r="A32" s="176">
        <v>29</v>
      </c>
      <c r="B32" s="293" t="s">
        <v>223</v>
      </c>
      <c r="C32" s="293" t="s">
        <v>230</v>
      </c>
      <c r="D32" s="293" t="s">
        <v>49</v>
      </c>
      <c r="E32" s="293" t="s">
        <v>54</v>
      </c>
      <c r="F32" s="293" t="s">
        <v>59</v>
      </c>
      <c r="G32" s="293"/>
      <c r="H32" s="294">
        <f t="shared" si="0"/>
        <v>7000000</v>
      </c>
      <c r="I32" s="294">
        <v>6500000</v>
      </c>
      <c r="J32" s="294">
        <v>500000</v>
      </c>
      <c r="K32" s="294">
        <v>1000000</v>
      </c>
      <c r="L32" s="294">
        <v>500000</v>
      </c>
      <c r="M32" s="294">
        <v>300000</v>
      </c>
      <c r="N32" s="294">
        <v>400000</v>
      </c>
      <c r="O32" s="294">
        <f t="shared" si="2"/>
        <v>9200000</v>
      </c>
      <c r="P32" s="178">
        <v>300000</v>
      </c>
      <c r="Q32" s="294"/>
      <c r="R32" s="294"/>
      <c r="S32" s="294"/>
    </row>
    <row r="33" spans="1:20" s="295" customFormat="1" ht="21.75" customHeight="1" x14ac:dyDescent="0.25">
      <c r="A33" s="176">
        <v>30</v>
      </c>
      <c r="B33" s="293" t="s">
        <v>224</v>
      </c>
      <c r="C33" s="293" t="s">
        <v>231</v>
      </c>
      <c r="D33" s="293" t="s">
        <v>49</v>
      </c>
      <c r="E33" s="293" t="s">
        <v>54</v>
      </c>
      <c r="F33" s="293" t="s">
        <v>59</v>
      </c>
      <c r="G33" s="293"/>
      <c r="H33" s="294">
        <f t="shared" si="0"/>
        <v>6500000</v>
      </c>
      <c r="I33" s="294">
        <v>6000000</v>
      </c>
      <c r="J33" s="294">
        <v>500000</v>
      </c>
      <c r="K33" s="294">
        <v>1000000</v>
      </c>
      <c r="L33" s="294">
        <v>500000</v>
      </c>
      <c r="M33" s="294">
        <v>300000</v>
      </c>
      <c r="N33" s="294">
        <v>400000</v>
      </c>
      <c r="O33" s="294">
        <f t="shared" si="2"/>
        <v>8700000</v>
      </c>
      <c r="P33" s="178"/>
      <c r="Q33" s="294"/>
      <c r="R33" s="294"/>
      <c r="S33" s="294"/>
    </row>
    <row r="34" spans="1:20" s="295" customFormat="1" ht="21.75" customHeight="1" x14ac:dyDescent="0.25">
      <c r="A34" s="176">
        <v>31</v>
      </c>
      <c r="B34" s="293" t="s">
        <v>225</v>
      </c>
      <c r="C34" s="293" t="s">
        <v>232</v>
      </c>
      <c r="D34" s="293" t="s">
        <v>49</v>
      </c>
      <c r="E34" s="293" t="s">
        <v>54</v>
      </c>
      <c r="F34" s="293" t="s">
        <v>59</v>
      </c>
      <c r="G34" s="293"/>
      <c r="H34" s="294">
        <f t="shared" si="0"/>
        <v>6500000</v>
      </c>
      <c r="I34" s="294">
        <v>6000000</v>
      </c>
      <c r="J34" s="294">
        <v>500000</v>
      </c>
      <c r="K34" s="294">
        <v>1000000</v>
      </c>
      <c r="L34" s="294">
        <v>500000</v>
      </c>
      <c r="M34" s="294">
        <v>300000</v>
      </c>
      <c r="N34" s="294">
        <v>400000</v>
      </c>
      <c r="O34" s="294">
        <f t="shared" si="2"/>
        <v>8700000</v>
      </c>
      <c r="P34" s="178"/>
      <c r="Q34" s="294"/>
      <c r="R34" s="294"/>
      <c r="S34" s="294"/>
    </row>
    <row r="35" spans="1:20" ht="27" customHeight="1" x14ac:dyDescent="0.25">
      <c r="A35" s="176">
        <v>32</v>
      </c>
      <c r="B35" s="176" t="s">
        <v>219</v>
      </c>
      <c r="C35" s="187" t="s">
        <v>220</v>
      </c>
      <c r="D35" s="293" t="s">
        <v>49</v>
      </c>
      <c r="E35" s="293" t="s">
        <v>54</v>
      </c>
      <c r="F35" s="176" t="s">
        <v>55</v>
      </c>
      <c r="G35" s="176"/>
      <c r="H35" s="294">
        <f t="shared" si="0"/>
        <v>7500000</v>
      </c>
      <c r="I35" s="178">
        <v>6500000</v>
      </c>
      <c r="J35" s="178">
        <v>1000000</v>
      </c>
      <c r="K35" s="178">
        <v>1000000</v>
      </c>
      <c r="L35" s="178">
        <v>500000</v>
      </c>
      <c r="M35" s="178">
        <v>400000</v>
      </c>
      <c r="N35" s="178">
        <v>400000</v>
      </c>
      <c r="O35" s="178">
        <f t="shared" si="2"/>
        <v>9800000</v>
      </c>
      <c r="P35" s="178"/>
      <c r="Q35" s="178"/>
      <c r="R35" s="178"/>
      <c r="S35" s="294" t="s">
        <v>332</v>
      </c>
    </row>
    <row r="36" spans="1:20" ht="21.75" customHeight="1" x14ac:dyDescent="0.25">
      <c r="A36" s="176">
        <v>33</v>
      </c>
      <c r="B36" s="176" t="s">
        <v>238</v>
      </c>
      <c r="C36" s="187" t="s">
        <v>239</v>
      </c>
      <c r="D36" s="293" t="s">
        <v>49</v>
      </c>
      <c r="E36" s="176" t="s">
        <v>240</v>
      </c>
      <c r="F36" s="176" t="s">
        <v>57</v>
      </c>
      <c r="G36" s="176"/>
      <c r="H36" s="294">
        <f t="shared" si="0"/>
        <v>10000000</v>
      </c>
      <c r="I36" s="178">
        <v>8500000</v>
      </c>
      <c r="J36" s="178">
        <v>1500000</v>
      </c>
      <c r="K36" s="178">
        <v>1800000</v>
      </c>
      <c r="L36" s="178">
        <v>500000</v>
      </c>
      <c r="M36" s="178">
        <v>500000</v>
      </c>
      <c r="N36" s="178">
        <v>400000</v>
      </c>
      <c r="O36" s="178">
        <f>SUM(I36:N36)</f>
        <v>13200000</v>
      </c>
      <c r="P36" s="178"/>
      <c r="Q36" s="178"/>
      <c r="R36" s="178"/>
      <c r="S36" s="294" t="s">
        <v>332</v>
      </c>
    </row>
    <row r="37" spans="1:20" s="295" customFormat="1" ht="21.75" customHeight="1" x14ac:dyDescent="0.25">
      <c r="A37" s="293">
        <v>34</v>
      </c>
      <c r="B37" s="293" t="s">
        <v>303</v>
      </c>
      <c r="C37" s="293" t="s">
        <v>307</v>
      </c>
      <c r="D37" s="293" t="s">
        <v>49</v>
      </c>
      <c r="E37" s="293" t="s">
        <v>54</v>
      </c>
      <c r="F37" s="293" t="s">
        <v>52</v>
      </c>
      <c r="G37" s="293"/>
      <c r="H37" s="294">
        <f t="shared" si="0"/>
        <v>7000000</v>
      </c>
      <c r="I37" s="294">
        <v>6500000</v>
      </c>
      <c r="J37" s="294">
        <v>500000</v>
      </c>
      <c r="K37" s="294">
        <v>1000000</v>
      </c>
      <c r="L37" s="294">
        <v>500000</v>
      </c>
      <c r="M37" s="294">
        <v>400000</v>
      </c>
      <c r="N37" s="294">
        <v>400000</v>
      </c>
      <c r="O37" s="294">
        <f t="shared" ref="O37:O40" si="3">SUM(I37:N37)</f>
        <v>9300000</v>
      </c>
      <c r="P37" s="294"/>
      <c r="Q37" s="294"/>
      <c r="R37" s="294"/>
      <c r="S37" s="294"/>
      <c r="T37" s="295" t="s">
        <v>343</v>
      </c>
    </row>
    <row r="38" spans="1:20" s="295" customFormat="1" ht="21.75" customHeight="1" x14ac:dyDescent="0.25">
      <c r="A38" s="293">
        <v>35</v>
      </c>
      <c r="B38" s="293" t="s">
        <v>304</v>
      </c>
      <c r="C38" s="293" t="s">
        <v>308</v>
      </c>
      <c r="D38" s="293" t="s">
        <v>49</v>
      </c>
      <c r="E38" s="293" t="s">
        <v>227</v>
      </c>
      <c r="F38" s="293" t="s">
        <v>52</v>
      </c>
      <c r="G38" s="293"/>
      <c r="H38" s="294">
        <f t="shared" si="0"/>
        <v>6000000</v>
      </c>
      <c r="I38" s="294">
        <v>5500000</v>
      </c>
      <c r="J38" s="294">
        <v>500000</v>
      </c>
      <c r="K38" s="294">
        <v>1000000</v>
      </c>
      <c r="L38" s="294">
        <v>500000</v>
      </c>
      <c r="M38" s="294">
        <v>400000</v>
      </c>
      <c r="N38" s="294">
        <v>400000</v>
      </c>
      <c r="O38" s="294">
        <f t="shared" si="3"/>
        <v>8300000</v>
      </c>
      <c r="P38" s="294"/>
      <c r="Q38" s="294"/>
      <c r="R38" s="294"/>
      <c r="S38" s="294"/>
    </row>
    <row r="39" spans="1:20" s="295" customFormat="1" ht="21.75" customHeight="1" x14ac:dyDescent="0.25">
      <c r="A39" s="293">
        <v>36</v>
      </c>
      <c r="B39" s="293" t="s">
        <v>305</v>
      </c>
      <c r="C39" s="293" t="s">
        <v>309</v>
      </c>
      <c r="D39" s="293" t="s">
        <v>49</v>
      </c>
      <c r="E39" s="293" t="s">
        <v>54</v>
      </c>
      <c r="F39" s="293" t="s">
        <v>59</v>
      </c>
      <c r="G39" s="293"/>
      <c r="H39" s="294">
        <f t="shared" si="0"/>
        <v>6500000</v>
      </c>
      <c r="I39" s="294">
        <v>6000000</v>
      </c>
      <c r="J39" s="294">
        <v>500000</v>
      </c>
      <c r="K39" s="294">
        <v>1000000</v>
      </c>
      <c r="L39" s="294">
        <v>500000</v>
      </c>
      <c r="M39" s="294">
        <v>400000</v>
      </c>
      <c r="N39" s="294">
        <v>400000</v>
      </c>
      <c r="O39" s="294">
        <f t="shared" si="3"/>
        <v>8800000</v>
      </c>
      <c r="P39" s="294"/>
      <c r="Q39" s="294"/>
      <c r="R39" s="294"/>
      <c r="S39" s="294"/>
    </row>
    <row r="40" spans="1:20" s="295" customFormat="1" ht="21.75" customHeight="1" x14ac:dyDescent="0.25">
      <c r="A40" s="293">
        <v>37</v>
      </c>
      <c r="B40" s="293" t="s">
        <v>306</v>
      </c>
      <c r="C40" s="293" t="s">
        <v>310</v>
      </c>
      <c r="D40" s="293" t="s">
        <v>49</v>
      </c>
      <c r="E40" s="293" t="s">
        <v>54</v>
      </c>
      <c r="F40" s="293" t="s">
        <v>59</v>
      </c>
      <c r="G40" s="293"/>
      <c r="H40" s="294">
        <f t="shared" si="0"/>
        <v>7000000</v>
      </c>
      <c r="I40" s="294">
        <v>6500000</v>
      </c>
      <c r="J40" s="294">
        <v>500000</v>
      </c>
      <c r="K40" s="294">
        <v>1000000</v>
      </c>
      <c r="L40" s="294">
        <v>500000</v>
      </c>
      <c r="M40" s="294">
        <v>400000</v>
      </c>
      <c r="N40" s="294">
        <v>400000</v>
      </c>
      <c r="O40" s="294">
        <f t="shared" si="3"/>
        <v>9300000</v>
      </c>
      <c r="P40" s="294"/>
      <c r="Q40" s="294"/>
      <c r="R40" s="294"/>
      <c r="S40" s="294"/>
    </row>
    <row r="41" spans="1:20" ht="27" customHeight="1" x14ac:dyDescent="0.25">
      <c r="A41" s="176">
        <v>38</v>
      </c>
      <c r="B41" s="317" t="s">
        <v>311</v>
      </c>
      <c r="C41" s="318" t="s">
        <v>331</v>
      </c>
      <c r="D41" s="317" t="s">
        <v>181</v>
      </c>
      <c r="E41" s="317" t="s">
        <v>185</v>
      </c>
      <c r="F41" s="317" t="s">
        <v>58</v>
      </c>
      <c r="G41" s="317" t="s">
        <v>333</v>
      </c>
      <c r="H41" s="188" t="str">
        <f t="shared" si="0"/>
        <v/>
      </c>
      <c r="I41" s="319">
        <v>7000000</v>
      </c>
      <c r="J41" s="319">
        <v>1000000</v>
      </c>
      <c r="K41" s="319">
        <v>1000000</v>
      </c>
      <c r="L41" s="319">
        <v>500000</v>
      </c>
      <c r="M41" s="319">
        <v>300000</v>
      </c>
      <c r="N41" s="319">
        <v>400000</v>
      </c>
      <c r="O41" s="319">
        <f t="shared" ref="O41:O42" si="4">SUM(I41:N41)</f>
        <v>10200000</v>
      </c>
      <c r="P41" s="319"/>
      <c r="Q41" s="319"/>
      <c r="R41" s="319"/>
      <c r="S41" s="319" t="s">
        <v>334</v>
      </c>
      <c r="T41" s="96" t="s">
        <v>337</v>
      </c>
    </row>
    <row r="42" spans="1:20" ht="30" x14ac:dyDescent="0.25">
      <c r="A42" s="176"/>
      <c r="B42" s="317" t="s">
        <v>328</v>
      </c>
      <c r="C42" s="318" t="s">
        <v>325</v>
      </c>
      <c r="D42" s="317" t="s">
        <v>181</v>
      </c>
      <c r="E42" s="317" t="s">
        <v>185</v>
      </c>
      <c r="F42" s="317" t="s">
        <v>58</v>
      </c>
      <c r="G42" s="317" t="s">
        <v>327</v>
      </c>
      <c r="H42" s="188" t="str">
        <f t="shared" si="0"/>
        <v/>
      </c>
      <c r="I42" s="319">
        <v>6500000</v>
      </c>
      <c r="J42" s="319">
        <v>1000000</v>
      </c>
      <c r="K42" s="319">
        <v>1000000</v>
      </c>
      <c r="L42" s="319">
        <v>500000</v>
      </c>
      <c r="M42" s="319">
        <v>400000</v>
      </c>
      <c r="N42" s="319">
        <v>400000</v>
      </c>
      <c r="O42" s="319">
        <f t="shared" si="4"/>
        <v>9800000</v>
      </c>
      <c r="P42" s="178"/>
      <c r="Q42" s="178"/>
      <c r="R42" s="178"/>
      <c r="S42" s="319" t="s">
        <v>335</v>
      </c>
      <c r="T42" s="96" t="s">
        <v>338</v>
      </c>
    </row>
    <row r="43" spans="1:20" ht="30" x14ac:dyDescent="0.25">
      <c r="A43" s="176"/>
      <c r="B43" s="317" t="s">
        <v>329</v>
      </c>
      <c r="C43" s="318" t="s">
        <v>330</v>
      </c>
      <c r="D43" s="317" t="s">
        <v>181</v>
      </c>
      <c r="E43" s="317" t="s">
        <v>185</v>
      </c>
      <c r="F43" s="317" t="s">
        <v>58</v>
      </c>
      <c r="G43" s="317" t="s">
        <v>327</v>
      </c>
      <c r="H43" s="188" t="str">
        <f t="shared" si="0"/>
        <v/>
      </c>
      <c r="I43" s="319">
        <v>6500000</v>
      </c>
      <c r="J43" s="319">
        <v>1000000</v>
      </c>
      <c r="K43" s="319">
        <v>1000000</v>
      </c>
      <c r="L43" s="319">
        <v>500000</v>
      </c>
      <c r="M43" s="319">
        <v>400000</v>
      </c>
      <c r="N43" s="319">
        <v>400000</v>
      </c>
      <c r="O43" s="319">
        <f t="shared" ref="O43" si="5">SUM(I43:N43)</f>
        <v>9800000</v>
      </c>
      <c r="P43" s="178"/>
      <c r="Q43" s="178"/>
      <c r="R43" s="178"/>
      <c r="S43" s="319" t="s">
        <v>335</v>
      </c>
      <c r="T43" s="96" t="s">
        <v>338</v>
      </c>
    </row>
    <row r="44" spans="1:20" x14ac:dyDescent="0.25">
      <c r="A44" s="176"/>
      <c r="B44" s="176"/>
      <c r="C44" s="176"/>
      <c r="D44" s="176"/>
      <c r="E44" s="176"/>
      <c r="F44" s="176"/>
      <c r="G44" s="176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</row>
    <row r="45" spans="1:20" x14ac:dyDescent="0.25">
      <c r="A45" s="176"/>
      <c r="B45" s="176"/>
      <c r="C45" s="176"/>
      <c r="D45" s="176"/>
      <c r="E45" s="176"/>
      <c r="F45" s="176"/>
      <c r="G45" s="176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</row>
    <row r="46" spans="1:20" x14ac:dyDescent="0.25">
      <c r="A46" s="176"/>
      <c r="B46" s="176"/>
      <c r="C46" s="176"/>
      <c r="D46" s="176"/>
      <c r="E46" s="176"/>
      <c r="F46" s="176"/>
      <c r="G46" s="176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</row>
    <row r="47" spans="1:20" x14ac:dyDescent="0.25">
      <c r="A47" s="176"/>
      <c r="B47" s="176"/>
      <c r="C47" s="176"/>
      <c r="D47" s="176"/>
      <c r="E47" s="176"/>
      <c r="F47" s="176"/>
      <c r="G47" s="176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</row>
    <row r="48" spans="1:20" x14ac:dyDescent="0.25">
      <c r="A48" s="176"/>
      <c r="B48" s="176"/>
      <c r="C48" s="176"/>
      <c r="D48" s="176"/>
      <c r="E48" s="176"/>
      <c r="F48" s="176"/>
      <c r="G48" s="176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</row>
    <row r="49" spans="1:19" x14ac:dyDescent="0.25">
      <c r="A49" s="176"/>
      <c r="B49" s="176"/>
      <c r="C49" s="176"/>
      <c r="D49" s="176"/>
      <c r="E49" s="176"/>
      <c r="F49" s="176"/>
      <c r="G49" s="176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</row>
    <row r="50" spans="1:19" x14ac:dyDescent="0.25">
      <c r="A50" s="176"/>
      <c r="B50" s="176"/>
      <c r="C50" s="176"/>
      <c r="D50" s="176"/>
      <c r="E50" s="176"/>
      <c r="F50" s="176"/>
      <c r="G50" s="176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</row>
    <row r="51" spans="1:19" x14ac:dyDescent="0.25">
      <c r="A51" s="176"/>
      <c r="B51" s="176"/>
      <c r="C51" s="176"/>
      <c r="D51" s="176"/>
      <c r="E51" s="176"/>
      <c r="F51" s="176"/>
      <c r="G51" s="176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</row>
    <row r="52" spans="1:19" x14ac:dyDescent="0.25">
      <c r="A52" s="176"/>
      <c r="B52" s="176"/>
      <c r="C52" s="176"/>
      <c r="D52" s="176"/>
      <c r="E52" s="176"/>
      <c r="F52" s="176"/>
      <c r="G52" s="176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</row>
    <row r="53" spans="1:19" x14ac:dyDescent="0.25">
      <c r="A53" s="176"/>
      <c r="B53" s="176"/>
      <c r="C53" s="176"/>
      <c r="D53" s="176"/>
      <c r="E53" s="176"/>
      <c r="F53" s="176"/>
      <c r="G53" s="176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</row>
    <row r="54" spans="1:19" x14ac:dyDescent="0.25">
      <c r="A54" s="176"/>
      <c r="B54" s="176"/>
      <c r="C54" s="176"/>
      <c r="D54" s="176"/>
      <c r="E54" s="176"/>
      <c r="F54" s="176"/>
      <c r="G54" s="176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</row>
    <row r="55" spans="1:19" x14ac:dyDescent="0.25">
      <c r="A55" s="176"/>
      <c r="B55" s="176"/>
      <c r="C55" s="176"/>
      <c r="D55" s="176"/>
      <c r="E55" s="176"/>
      <c r="F55" s="176"/>
      <c r="G55" s="176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</row>
    <row r="56" spans="1:19" x14ac:dyDescent="0.25">
      <c r="A56" s="176"/>
      <c r="B56" s="176"/>
      <c r="C56" s="176"/>
      <c r="D56" s="176"/>
      <c r="E56" s="176"/>
      <c r="F56" s="176"/>
      <c r="G56" s="176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</row>
    <row r="57" spans="1:19" x14ac:dyDescent="0.25">
      <c r="A57" s="176"/>
      <c r="B57" s="176"/>
      <c r="C57" s="176"/>
      <c r="D57" s="176"/>
      <c r="E57" s="176"/>
      <c r="F57" s="176"/>
      <c r="G57" s="176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</row>
    <row r="58" spans="1:19" x14ac:dyDescent="0.25">
      <c r="A58" s="176"/>
      <c r="B58" s="176"/>
      <c r="C58" s="176"/>
      <c r="D58" s="176"/>
      <c r="E58" s="176"/>
      <c r="F58" s="176"/>
      <c r="G58" s="176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</row>
    <row r="59" spans="1:19" x14ac:dyDescent="0.25">
      <c r="A59" s="176"/>
      <c r="B59" s="176"/>
      <c r="C59" s="176"/>
      <c r="D59" s="176"/>
      <c r="E59" s="176"/>
      <c r="F59" s="176"/>
      <c r="G59" s="176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</row>
    <row r="60" spans="1:19" x14ac:dyDescent="0.25">
      <c r="A60" s="176"/>
      <c r="B60" s="176"/>
      <c r="C60" s="176"/>
      <c r="D60" s="176"/>
      <c r="E60" s="176"/>
      <c r="F60" s="176"/>
      <c r="G60" s="176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</row>
    <row r="61" spans="1:19" x14ac:dyDescent="0.25">
      <c r="A61" s="176"/>
      <c r="B61" s="176"/>
      <c r="C61" s="176"/>
      <c r="D61" s="176"/>
      <c r="E61" s="176"/>
      <c r="F61" s="176"/>
      <c r="G61" s="176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</row>
    <row r="62" spans="1:19" x14ac:dyDescent="0.25">
      <c r="A62" s="176"/>
      <c r="B62" s="176"/>
      <c r="C62" s="176"/>
      <c r="D62" s="176"/>
      <c r="E62" s="176"/>
      <c r="F62" s="176"/>
      <c r="G62" s="176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</row>
    <row r="63" spans="1:19" x14ac:dyDescent="0.25">
      <c r="A63" s="176"/>
      <c r="B63" s="176"/>
      <c r="C63" s="176"/>
      <c r="D63" s="176"/>
      <c r="E63" s="176"/>
      <c r="F63" s="176"/>
      <c r="G63" s="176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</row>
    <row r="64" spans="1:19" x14ac:dyDescent="0.25">
      <c r="A64" s="176"/>
      <c r="B64" s="176"/>
      <c r="C64" s="176"/>
      <c r="D64" s="176"/>
      <c r="E64" s="176"/>
      <c r="F64" s="176"/>
      <c r="G64" s="176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</row>
    <row r="65" spans="1:19" x14ac:dyDescent="0.25">
      <c r="A65" s="176"/>
      <c r="B65" s="176"/>
      <c r="C65" s="176"/>
      <c r="D65" s="176"/>
      <c r="E65" s="176"/>
      <c r="F65" s="176"/>
      <c r="G65" s="176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</row>
    <row r="66" spans="1:19" x14ac:dyDescent="0.25">
      <c r="A66" s="176"/>
      <c r="B66" s="176"/>
      <c r="C66" s="176"/>
      <c r="D66" s="176"/>
      <c r="E66" s="176"/>
      <c r="F66" s="176"/>
      <c r="G66" s="176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</row>
    <row r="67" spans="1:19" x14ac:dyDescent="0.25">
      <c r="A67" s="176"/>
      <c r="B67" s="176"/>
      <c r="C67" s="176"/>
      <c r="D67" s="176"/>
      <c r="E67" s="176"/>
      <c r="F67" s="176"/>
      <c r="G67" s="176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</row>
    <row r="68" spans="1:19" x14ac:dyDescent="0.25">
      <c r="A68" s="176"/>
      <c r="B68" s="176"/>
      <c r="C68" s="176"/>
      <c r="D68" s="176"/>
      <c r="E68" s="176"/>
      <c r="F68" s="176"/>
      <c r="G68" s="176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</row>
    <row r="69" spans="1:19" x14ac:dyDescent="0.25">
      <c r="A69" s="176"/>
      <c r="B69" s="176"/>
      <c r="C69" s="176"/>
      <c r="D69" s="176"/>
      <c r="E69" s="176"/>
      <c r="F69" s="176"/>
      <c r="G69" s="176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</row>
    <row r="70" spans="1:19" x14ac:dyDescent="0.25">
      <c r="A70" s="176"/>
      <c r="B70" s="176"/>
      <c r="C70" s="176"/>
      <c r="D70" s="176"/>
      <c r="E70" s="176"/>
      <c r="F70" s="176"/>
      <c r="G70" s="176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</row>
    <row r="71" spans="1:19" x14ac:dyDescent="0.25">
      <c r="A71" s="176"/>
      <c r="B71" s="176"/>
      <c r="C71" s="176"/>
      <c r="D71" s="176"/>
      <c r="E71" s="176"/>
      <c r="F71" s="176"/>
      <c r="G71" s="176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</row>
    <row r="72" spans="1:19" x14ac:dyDescent="0.25">
      <c r="A72" s="176"/>
      <c r="B72" s="176"/>
      <c r="C72" s="176"/>
      <c r="D72" s="176"/>
      <c r="E72" s="176"/>
      <c r="F72" s="176"/>
      <c r="G72" s="176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</row>
    <row r="73" spans="1:19" x14ac:dyDescent="0.25">
      <c r="A73" s="176"/>
      <c r="B73" s="176"/>
      <c r="C73" s="176"/>
      <c r="D73" s="176"/>
      <c r="E73" s="176"/>
      <c r="F73" s="176"/>
      <c r="G73" s="176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</row>
    <row r="74" spans="1:19" x14ac:dyDescent="0.25">
      <c r="A74" s="176"/>
      <c r="B74" s="176"/>
      <c r="C74" s="176"/>
      <c r="D74" s="176"/>
      <c r="E74" s="176"/>
      <c r="F74" s="176"/>
      <c r="G74" s="176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</row>
    <row r="75" spans="1:19" x14ac:dyDescent="0.25">
      <c r="A75" s="176"/>
      <c r="B75" s="176"/>
      <c r="C75" s="176"/>
      <c r="D75" s="176"/>
      <c r="E75" s="176"/>
      <c r="F75" s="176"/>
      <c r="G75" s="176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</row>
    <row r="76" spans="1:19" x14ac:dyDescent="0.25">
      <c r="A76" s="176"/>
      <c r="B76" s="176"/>
      <c r="C76" s="176"/>
      <c r="D76" s="176"/>
      <c r="E76" s="176"/>
      <c r="F76" s="176"/>
      <c r="G76" s="176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</row>
    <row r="77" spans="1:19" x14ac:dyDescent="0.25">
      <c r="A77" s="176"/>
      <c r="B77" s="176"/>
      <c r="C77" s="176"/>
      <c r="D77" s="176"/>
      <c r="E77" s="176"/>
      <c r="F77" s="176"/>
      <c r="G77" s="176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</row>
    <row r="78" spans="1:19" x14ac:dyDescent="0.25">
      <c r="A78" s="176"/>
      <c r="B78" s="176"/>
      <c r="C78" s="176"/>
      <c r="D78" s="176"/>
      <c r="E78" s="176"/>
      <c r="F78" s="176"/>
      <c r="G78" s="176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</row>
    <row r="79" spans="1:19" x14ac:dyDescent="0.25">
      <c r="A79" s="176"/>
      <c r="B79" s="176"/>
      <c r="C79" s="176"/>
      <c r="D79" s="176"/>
      <c r="E79" s="176"/>
      <c r="F79" s="176"/>
      <c r="G79" s="176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</row>
    <row r="80" spans="1:19" x14ac:dyDescent="0.25">
      <c r="A80" s="176"/>
      <c r="B80" s="176"/>
      <c r="C80" s="176"/>
      <c r="D80" s="176"/>
      <c r="E80" s="176"/>
      <c r="F80" s="176"/>
      <c r="G80" s="176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</row>
    <row r="81" spans="1:19" x14ac:dyDescent="0.25">
      <c r="A81" s="176"/>
      <c r="B81" s="176"/>
      <c r="C81" s="176"/>
      <c r="D81" s="176"/>
      <c r="E81" s="176"/>
      <c r="F81" s="176"/>
      <c r="G81" s="176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</row>
    <row r="82" spans="1:19" x14ac:dyDescent="0.25">
      <c r="A82" s="176"/>
      <c r="B82" s="176"/>
      <c r="C82" s="176"/>
      <c r="D82" s="176"/>
      <c r="E82" s="176"/>
      <c r="F82" s="176"/>
      <c r="G82" s="176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</row>
    <row r="83" spans="1:19" x14ac:dyDescent="0.25">
      <c r="A83" s="176"/>
      <c r="B83" s="176"/>
      <c r="C83" s="176"/>
      <c r="D83" s="176"/>
      <c r="E83" s="176"/>
      <c r="F83" s="176"/>
      <c r="G83" s="176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</row>
    <row r="84" spans="1:19" x14ac:dyDescent="0.25">
      <c r="A84" s="176"/>
      <c r="B84" s="176"/>
      <c r="C84" s="176"/>
      <c r="D84" s="176"/>
      <c r="E84" s="176"/>
      <c r="F84" s="176"/>
      <c r="G84" s="176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</row>
    <row r="85" spans="1:19" x14ac:dyDescent="0.25">
      <c r="A85" s="176"/>
      <c r="B85" s="176"/>
      <c r="C85" s="176"/>
      <c r="D85" s="176"/>
      <c r="E85" s="176"/>
      <c r="F85" s="176"/>
      <c r="G85" s="176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</row>
    <row r="86" spans="1:19" x14ac:dyDescent="0.25">
      <c r="A86" s="176"/>
      <c r="B86" s="176"/>
      <c r="C86" s="176"/>
      <c r="D86" s="176"/>
      <c r="E86" s="176"/>
      <c r="F86" s="176"/>
      <c r="G86" s="176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</row>
    <row r="87" spans="1:19" x14ac:dyDescent="0.25">
      <c r="A87" s="176"/>
      <c r="B87" s="176"/>
      <c r="C87" s="176"/>
      <c r="D87" s="176"/>
      <c r="E87" s="176"/>
      <c r="F87" s="176"/>
      <c r="G87" s="176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</row>
    <row r="88" spans="1:19" x14ac:dyDescent="0.25">
      <c r="A88" s="176"/>
      <c r="B88" s="176"/>
      <c r="C88" s="176"/>
      <c r="D88" s="176"/>
      <c r="E88" s="176"/>
      <c r="F88" s="176"/>
      <c r="G88" s="176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</row>
    <row r="89" spans="1:19" x14ac:dyDescent="0.25">
      <c r="A89" s="176"/>
      <c r="B89" s="176"/>
      <c r="C89" s="176"/>
      <c r="D89" s="176"/>
      <c r="E89" s="176"/>
      <c r="F89" s="176"/>
      <c r="G89" s="176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</row>
    <row r="90" spans="1:19" x14ac:dyDescent="0.25">
      <c r="A90" s="176"/>
      <c r="B90" s="176"/>
      <c r="C90" s="176"/>
      <c r="D90" s="176"/>
      <c r="E90" s="176"/>
      <c r="F90" s="176"/>
      <c r="G90" s="176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</row>
    <row r="91" spans="1:19" x14ac:dyDescent="0.25">
      <c r="A91" s="176"/>
      <c r="B91" s="176"/>
      <c r="C91" s="176"/>
      <c r="D91" s="176"/>
      <c r="E91" s="176"/>
      <c r="F91" s="176"/>
      <c r="G91" s="176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</row>
    <row r="92" spans="1:19" x14ac:dyDescent="0.25">
      <c r="A92" s="176"/>
      <c r="B92" s="176"/>
      <c r="C92" s="176"/>
      <c r="D92" s="176"/>
      <c r="E92" s="176"/>
      <c r="F92" s="176"/>
      <c r="G92" s="176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</row>
    <row r="93" spans="1:19" x14ac:dyDescent="0.25">
      <c r="A93" s="176"/>
      <c r="B93" s="176"/>
      <c r="C93" s="176"/>
      <c r="D93" s="176"/>
      <c r="E93" s="176"/>
      <c r="F93" s="176"/>
      <c r="G93" s="176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</row>
    <row r="94" spans="1:19" x14ac:dyDescent="0.25">
      <c r="A94" s="176"/>
      <c r="B94" s="176"/>
      <c r="C94" s="176"/>
      <c r="D94" s="176"/>
      <c r="E94" s="176"/>
      <c r="F94" s="176"/>
      <c r="G94" s="176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</row>
    <row r="95" spans="1:19" x14ac:dyDescent="0.25">
      <c r="A95" s="176"/>
      <c r="B95" s="176"/>
      <c r="C95" s="176"/>
      <c r="D95" s="176"/>
      <c r="E95" s="176"/>
      <c r="F95" s="176"/>
      <c r="G95" s="176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</row>
    <row r="96" spans="1:19" x14ac:dyDescent="0.25">
      <c r="A96" s="176"/>
      <c r="B96" s="176"/>
      <c r="C96" s="176"/>
      <c r="D96" s="176"/>
      <c r="E96" s="176"/>
      <c r="F96" s="176"/>
      <c r="G96" s="176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</row>
    <row r="97" spans="1:19" x14ac:dyDescent="0.25">
      <c r="A97" s="176"/>
      <c r="B97" s="176"/>
      <c r="C97" s="176"/>
      <c r="D97" s="176"/>
      <c r="E97" s="176"/>
      <c r="F97" s="176"/>
      <c r="G97" s="176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</row>
    <row r="98" spans="1:19" x14ac:dyDescent="0.25">
      <c r="A98" s="176"/>
      <c r="B98" s="176"/>
      <c r="C98" s="176"/>
      <c r="D98" s="176"/>
      <c r="E98" s="176"/>
      <c r="F98" s="176"/>
      <c r="G98" s="176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</row>
    <row r="99" spans="1:19" x14ac:dyDescent="0.25">
      <c r="A99" s="176"/>
      <c r="B99" s="176"/>
      <c r="C99" s="176"/>
      <c r="D99" s="176"/>
      <c r="E99" s="176"/>
      <c r="F99" s="176"/>
      <c r="G99" s="176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</row>
    <row r="100" spans="1:19" x14ac:dyDescent="0.25">
      <c r="A100" s="176"/>
      <c r="B100" s="176"/>
      <c r="C100" s="176"/>
      <c r="D100" s="176"/>
      <c r="E100" s="176"/>
      <c r="F100" s="176"/>
      <c r="G100" s="176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</row>
    <row r="101" spans="1:19" x14ac:dyDescent="0.25">
      <c r="A101" s="176"/>
      <c r="B101" s="176"/>
      <c r="C101" s="176"/>
      <c r="D101" s="176"/>
      <c r="E101" s="176"/>
      <c r="F101" s="176"/>
      <c r="G101" s="176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</row>
    <row r="102" spans="1:19" x14ac:dyDescent="0.25">
      <c r="A102" s="176"/>
      <c r="B102" s="176"/>
      <c r="C102" s="176"/>
      <c r="D102" s="176"/>
      <c r="E102" s="176"/>
      <c r="F102" s="176"/>
      <c r="G102" s="176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</row>
    <row r="103" spans="1:19" x14ac:dyDescent="0.25">
      <c r="A103" s="176"/>
      <c r="B103" s="176"/>
      <c r="C103" s="176"/>
      <c r="D103" s="176"/>
      <c r="E103" s="176"/>
      <c r="F103" s="176"/>
      <c r="G103" s="176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</row>
    <row r="104" spans="1:19" x14ac:dyDescent="0.25">
      <c r="A104" s="176"/>
      <c r="B104" s="176"/>
      <c r="C104" s="176"/>
      <c r="D104" s="176"/>
      <c r="E104" s="176"/>
      <c r="F104" s="176"/>
      <c r="G104" s="176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</row>
    <row r="105" spans="1:19" x14ac:dyDescent="0.25">
      <c r="A105" s="176"/>
      <c r="B105" s="176"/>
      <c r="C105" s="176"/>
      <c r="D105" s="176"/>
      <c r="E105" s="176"/>
      <c r="F105" s="176"/>
      <c r="G105" s="176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</row>
    <row r="106" spans="1:19" x14ac:dyDescent="0.25">
      <c r="A106" s="176"/>
      <c r="B106" s="176"/>
      <c r="C106" s="176"/>
      <c r="D106" s="176"/>
      <c r="E106" s="176"/>
      <c r="F106" s="176"/>
      <c r="G106" s="176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</row>
    <row r="107" spans="1:19" x14ac:dyDescent="0.25">
      <c r="A107" s="176"/>
      <c r="B107" s="176"/>
      <c r="C107" s="176"/>
      <c r="D107" s="176"/>
      <c r="E107" s="176"/>
      <c r="F107" s="176"/>
      <c r="G107" s="176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</row>
    <row r="108" spans="1:19" x14ac:dyDescent="0.25">
      <c r="A108" s="176"/>
      <c r="B108" s="176"/>
      <c r="C108" s="176"/>
      <c r="D108" s="176"/>
      <c r="E108" s="176"/>
      <c r="F108" s="176"/>
      <c r="G108" s="176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</row>
    <row r="109" spans="1:19" x14ac:dyDescent="0.25">
      <c r="A109" s="176"/>
      <c r="B109" s="176"/>
      <c r="C109" s="176"/>
      <c r="D109" s="176"/>
      <c r="E109" s="176"/>
      <c r="F109" s="176"/>
      <c r="G109" s="176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</row>
    <row r="110" spans="1:19" x14ac:dyDescent="0.25">
      <c r="A110" s="176"/>
      <c r="B110" s="176"/>
      <c r="C110" s="176"/>
      <c r="D110" s="176"/>
      <c r="E110" s="176"/>
      <c r="F110" s="176"/>
      <c r="G110" s="176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</row>
    <row r="111" spans="1:19" x14ac:dyDescent="0.25">
      <c r="A111" s="176"/>
      <c r="B111" s="176"/>
      <c r="C111" s="176"/>
      <c r="D111" s="176"/>
      <c r="E111" s="176"/>
      <c r="F111" s="176"/>
      <c r="G111" s="176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</row>
    <row r="112" spans="1:19" x14ac:dyDescent="0.25">
      <c r="A112" s="176"/>
      <c r="B112" s="176"/>
      <c r="C112" s="176"/>
      <c r="D112" s="176"/>
      <c r="E112" s="176"/>
      <c r="F112" s="176"/>
      <c r="G112" s="176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</row>
    <row r="113" spans="1:19" x14ac:dyDescent="0.25">
      <c r="A113" s="176"/>
      <c r="B113" s="176"/>
      <c r="C113" s="176"/>
      <c r="D113" s="176"/>
      <c r="E113" s="176"/>
      <c r="F113" s="176"/>
      <c r="G113" s="176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</row>
    <row r="114" spans="1:19" x14ac:dyDescent="0.25">
      <c r="A114" s="176"/>
      <c r="B114" s="176"/>
      <c r="C114" s="176"/>
      <c r="D114" s="176"/>
      <c r="E114" s="176"/>
      <c r="F114" s="176"/>
      <c r="G114" s="176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</row>
    <row r="115" spans="1:19" x14ac:dyDescent="0.25">
      <c r="A115" s="176"/>
      <c r="B115" s="176"/>
      <c r="C115" s="176"/>
      <c r="D115" s="176"/>
      <c r="E115" s="176"/>
      <c r="F115" s="176"/>
      <c r="G115" s="176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</row>
    <row r="116" spans="1:19" x14ac:dyDescent="0.25">
      <c r="A116" s="176"/>
      <c r="B116" s="176"/>
      <c r="C116" s="176"/>
      <c r="D116" s="176"/>
      <c r="E116" s="176"/>
      <c r="F116" s="176"/>
      <c r="G116" s="176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</row>
    <row r="117" spans="1:19" x14ac:dyDescent="0.25">
      <c r="A117" s="176"/>
      <c r="B117" s="176"/>
      <c r="C117" s="176"/>
      <c r="D117" s="176"/>
      <c r="E117" s="176"/>
      <c r="F117" s="176"/>
      <c r="G117" s="176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</row>
    <row r="118" spans="1:19" x14ac:dyDescent="0.25">
      <c r="A118" s="176"/>
      <c r="B118" s="176"/>
      <c r="C118" s="176"/>
      <c r="D118" s="176"/>
      <c r="E118" s="176"/>
      <c r="F118" s="176"/>
      <c r="G118" s="176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</row>
    <row r="119" spans="1:19" x14ac:dyDescent="0.25">
      <c r="A119" s="176"/>
      <c r="B119" s="176"/>
      <c r="C119" s="176"/>
      <c r="D119" s="176"/>
      <c r="E119" s="176"/>
      <c r="F119" s="176"/>
      <c r="G119" s="176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</row>
    <row r="120" spans="1:19" x14ac:dyDescent="0.25">
      <c r="A120" s="176"/>
      <c r="B120" s="176"/>
      <c r="C120" s="176"/>
      <c r="D120" s="176"/>
      <c r="E120" s="176"/>
      <c r="F120" s="176"/>
      <c r="G120" s="176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</row>
    <row r="121" spans="1:19" x14ac:dyDescent="0.25">
      <c r="A121" s="176"/>
      <c r="B121" s="176"/>
      <c r="C121" s="176"/>
      <c r="D121" s="176"/>
      <c r="E121" s="176"/>
      <c r="F121" s="176"/>
      <c r="G121" s="176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</row>
    <row r="122" spans="1:19" x14ac:dyDescent="0.25">
      <c r="A122" s="176"/>
      <c r="B122" s="176"/>
      <c r="C122" s="176"/>
      <c r="D122" s="176"/>
      <c r="E122" s="176"/>
      <c r="F122" s="176"/>
      <c r="G122" s="176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</row>
    <row r="123" spans="1:19" x14ac:dyDescent="0.25">
      <c r="A123" s="176"/>
      <c r="B123" s="176"/>
      <c r="C123" s="176"/>
      <c r="D123" s="176"/>
      <c r="E123" s="176"/>
      <c r="F123" s="176"/>
      <c r="G123" s="176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</row>
    <row r="124" spans="1:19" x14ac:dyDescent="0.25">
      <c r="A124" s="176"/>
      <c r="B124" s="176"/>
      <c r="C124" s="176"/>
      <c r="D124" s="176"/>
      <c r="E124" s="176"/>
      <c r="F124" s="176"/>
      <c r="G124" s="176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</row>
    <row r="125" spans="1:19" x14ac:dyDescent="0.25">
      <c r="A125" s="176"/>
      <c r="B125" s="176"/>
      <c r="C125" s="176"/>
      <c r="D125" s="176"/>
      <c r="E125" s="176"/>
      <c r="F125" s="176"/>
      <c r="G125" s="176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</row>
    <row r="126" spans="1:19" x14ac:dyDescent="0.25">
      <c r="A126" s="176"/>
      <c r="B126" s="176"/>
      <c r="C126" s="176"/>
      <c r="D126" s="176"/>
      <c r="E126" s="176"/>
      <c r="F126" s="176"/>
      <c r="G126" s="176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</row>
    <row r="127" spans="1:19" x14ac:dyDescent="0.25">
      <c r="A127" s="176"/>
      <c r="B127" s="176"/>
      <c r="C127" s="176"/>
      <c r="D127" s="176"/>
      <c r="E127" s="176"/>
      <c r="F127" s="176"/>
      <c r="G127" s="176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</row>
    <row r="128" spans="1:19" x14ac:dyDescent="0.25">
      <c r="A128" s="176"/>
      <c r="B128" s="176"/>
      <c r="C128" s="176"/>
      <c r="D128" s="176"/>
      <c r="E128" s="176"/>
      <c r="F128" s="176"/>
      <c r="G128" s="176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</row>
    <row r="129" spans="1:19" x14ac:dyDescent="0.25">
      <c r="A129" s="176"/>
      <c r="B129" s="176"/>
      <c r="C129" s="176"/>
      <c r="D129" s="176"/>
      <c r="E129" s="176"/>
      <c r="F129" s="176"/>
      <c r="G129" s="176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</row>
    <row r="130" spans="1:19" x14ac:dyDescent="0.25">
      <c r="A130" s="176"/>
      <c r="B130" s="176"/>
      <c r="C130" s="176"/>
      <c r="D130" s="176"/>
      <c r="E130" s="176"/>
      <c r="F130" s="176"/>
      <c r="G130" s="176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</row>
    <row r="131" spans="1:19" x14ac:dyDescent="0.25">
      <c r="A131" s="176"/>
      <c r="B131" s="176"/>
      <c r="C131" s="176"/>
      <c r="D131" s="176"/>
      <c r="E131" s="176"/>
      <c r="F131" s="176"/>
      <c r="G131" s="176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</row>
    <row r="132" spans="1:19" x14ac:dyDescent="0.25">
      <c r="A132" s="176"/>
      <c r="B132" s="176"/>
      <c r="C132" s="176"/>
      <c r="D132" s="176"/>
      <c r="E132" s="176"/>
      <c r="F132" s="176"/>
      <c r="G132" s="176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</row>
    <row r="133" spans="1:19" x14ac:dyDescent="0.25">
      <c r="A133" s="176"/>
      <c r="B133" s="176"/>
      <c r="C133" s="176"/>
      <c r="D133" s="176"/>
      <c r="E133" s="176"/>
      <c r="F133" s="176"/>
      <c r="G133" s="176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</row>
    <row r="134" spans="1:19" x14ac:dyDescent="0.25">
      <c r="A134" s="176"/>
      <c r="B134" s="176"/>
      <c r="C134" s="176"/>
      <c r="D134" s="176"/>
      <c r="E134" s="176"/>
      <c r="F134" s="176"/>
      <c r="G134" s="176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</row>
    <row r="135" spans="1:19" x14ac:dyDescent="0.25">
      <c r="A135" s="176"/>
      <c r="B135" s="176"/>
      <c r="C135" s="176"/>
      <c r="D135" s="176"/>
      <c r="E135" s="176"/>
      <c r="F135" s="176"/>
      <c r="G135" s="176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</row>
    <row r="136" spans="1:19" x14ac:dyDescent="0.25">
      <c r="A136" s="176"/>
      <c r="B136" s="176"/>
      <c r="C136" s="176"/>
      <c r="D136" s="176"/>
      <c r="E136" s="176"/>
      <c r="F136" s="176"/>
      <c r="G136" s="176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</row>
    <row r="137" spans="1:19" x14ac:dyDescent="0.25">
      <c r="A137" s="176"/>
      <c r="B137" s="176"/>
      <c r="C137" s="176"/>
      <c r="D137" s="176"/>
      <c r="E137" s="176"/>
      <c r="F137" s="176"/>
      <c r="G137" s="176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</row>
    <row r="138" spans="1:19" x14ac:dyDescent="0.25">
      <c r="A138" s="176"/>
      <c r="B138" s="176"/>
      <c r="C138" s="176"/>
      <c r="D138" s="176"/>
      <c r="E138" s="176"/>
      <c r="F138" s="176"/>
      <c r="G138" s="176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</row>
    <row r="139" spans="1:19" x14ac:dyDescent="0.25">
      <c r="A139" s="176"/>
      <c r="B139" s="176"/>
      <c r="C139" s="176"/>
      <c r="D139" s="176"/>
      <c r="E139" s="176"/>
      <c r="F139" s="176"/>
      <c r="G139" s="176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</row>
    <row r="140" spans="1:19" x14ac:dyDescent="0.25">
      <c r="A140" s="176"/>
      <c r="B140" s="176"/>
      <c r="C140" s="176"/>
      <c r="D140" s="176"/>
      <c r="E140" s="176"/>
      <c r="F140" s="176"/>
      <c r="G140" s="176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</row>
    <row r="141" spans="1:19" x14ac:dyDescent="0.25">
      <c r="A141" s="176"/>
      <c r="B141" s="176"/>
      <c r="C141" s="176"/>
      <c r="D141" s="176"/>
      <c r="E141" s="176"/>
      <c r="F141" s="176"/>
      <c r="G141" s="176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</row>
    <row r="142" spans="1:19" x14ac:dyDescent="0.25">
      <c r="A142" s="176"/>
      <c r="B142" s="176"/>
      <c r="C142" s="176"/>
      <c r="D142" s="176"/>
      <c r="E142" s="176"/>
      <c r="F142" s="176"/>
      <c r="G142" s="176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</row>
    <row r="143" spans="1:19" x14ac:dyDescent="0.25">
      <c r="A143" s="176"/>
      <c r="B143" s="176"/>
      <c r="C143" s="176"/>
      <c r="D143" s="176"/>
      <c r="E143" s="176"/>
      <c r="F143" s="176"/>
      <c r="G143" s="176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</row>
    <row r="144" spans="1:19" x14ac:dyDescent="0.25">
      <c r="A144" s="176"/>
      <c r="B144" s="176"/>
      <c r="C144" s="176"/>
      <c r="D144" s="176"/>
      <c r="E144" s="176"/>
      <c r="F144" s="176"/>
      <c r="G144" s="176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</row>
    <row r="145" spans="1:19" x14ac:dyDescent="0.25">
      <c r="A145" s="176"/>
      <c r="B145" s="176"/>
      <c r="C145" s="176"/>
      <c r="D145" s="176"/>
      <c r="E145" s="176"/>
      <c r="F145" s="176"/>
      <c r="G145" s="176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</row>
    <row r="146" spans="1:19" x14ac:dyDescent="0.25">
      <c r="A146" s="176"/>
      <c r="B146" s="176"/>
      <c r="C146" s="176"/>
      <c r="D146" s="176"/>
      <c r="E146" s="176"/>
      <c r="F146" s="176"/>
      <c r="G146" s="176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</row>
    <row r="147" spans="1:19" x14ac:dyDescent="0.25">
      <c r="A147" s="176"/>
      <c r="B147" s="176"/>
      <c r="C147" s="176"/>
      <c r="D147" s="176"/>
      <c r="E147" s="176"/>
      <c r="F147" s="176"/>
      <c r="G147" s="176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</row>
    <row r="148" spans="1:19" x14ac:dyDescent="0.25">
      <c r="A148" s="176"/>
      <c r="B148" s="176"/>
      <c r="C148" s="176"/>
      <c r="D148" s="176"/>
      <c r="E148" s="176"/>
      <c r="F148" s="176"/>
      <c r="G148" s="176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</row>
    <row r="149" spans="1:19" x14ac:dyDescent="0.25">
      <c r="A149" s="176"/>
      <c r="B149" s="176"/>
      <c r="C149" s="176"/>
      <c r="D149" s="176"/>
      <c r="E149" s="176"/>
      <c r="F149" s="176"/>
      <c r="G149" s="176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</row>
    <row r="150" spans="1:19" x14ac:dyDescent="0.25">
      <c r="A150" s="176"/>
      <c r="B150" s="176"/>
      <c r="C150" s="176"/>
      <c r="D150" s="176"/>
      <c r="E150" s="176"/>
      <c r="F150" s="176"/>
      <c r="G150" s="176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</row>
    <row r="151" spans="1:19" x14ac:dyDescent="0.25">
      <c r="A151" s="176"/>
      <c r="B151" s="176"/>
      <c r="C151" s="176"/>
      <c r="D151" s="176"/>
      <c r="E151" s="176"/>
      <c r="F151" s="176"/>
      <c r="G151" s="176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</row>
    <row r="152" spans="1:19" x14ac:dyDescent="0.25">
      <c r="A152" s="176"/>
      <c r="B152" s="176"/>
      <c r="C152" s="176"/>
      <c r="D152" s="176"/>
      <c r="E152" s="176"/>
      <c r="F152" s="176"/>
      <c r="G152" s="176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</row>
    <row r="153" spans="1:19" x14ac:dyDescent="0.25">
      <c r="A153" s="176"/>
      <c r="B153" s="176"/>
      <c r="C153" s="176"/>
      <c r="D153" s="176"/>
      <c r="E153" s="176"/>
      <c r="F153" s="176"/>
      <c r="G153" s="176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</row>
    <row r="154" spans="1:19" x14ac:dyDescent="0.25">
      <c r="A154" s="176"/>
      <c r="B154" s="176"/>
      <c r="C154" s="176"/>
      <c r="D154" s="176"/>
      <c r="E154" s="176"/>
      <c r="F154" s="176"/>
      <c r="G154" s="176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</row>
    <row r="155" spans="1:19" x14ac:dyDescent="0.25">
      <c r="A155" s="176"/>
      <c r="B155" s="176"/>
      <c r="C155" s="176"/>
      <c r="D155" s="176"/>
      <c r="E155" s="176"/>
      <c r="F155" s="176"/>
      <c r="G155" s="176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</row>
    <row r="156" spans="1:19" x14ac:dyDescent="0.25">
      <c r="A156" s="176"/>
      <c r="B156" s="176"/>
      <c r="C156" s="176"/>
      <c r="D156" s="176"/>
      <c r="E156" s="176"/>
      <c r="F156" s="176"/>
      <c r="G156" s="176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</row>
    <row r="157" spans="1:19" x14ac:dyDescent="0.25">
      <c r="A157" s="176"/>
      <c r="B157" s="176"/>
      <c r="C157" s="176"/>
      <c r="D157" s="176"/>
      <c r="E157" s="176"/>
      <c r="F157" s="176"/>
      <c r="G157" s="176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</row>
    <row r="158" spans="1:19" x14ac:dyDescent="0.25">
      <c r="A158" s="176"/>
      <c r="B158" s="176"/>
      <c r="C158" s="176"/>
      <c r="D158" s="176"/>
      <c r="E158" s="176"/>
      <c r="F158" s="176"/>
      <c r="G158" s="176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</row>
    <row r="159" spans="1:19" x14ac:dyDescent="0.25">
      <c r="A159" s="176"/>
      <c r="B159" s="176"/>
      <c r="C159" s="176"/>
      <c r="D159" s="176"/>
      <c r="E159" s="176"/>
      <c r="F159" s="176"/>
      <c r="G159" s="176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</row>
    <row r="160" spans="1:19" x14ac:dyDescent="0.25">
      <c r="A160" s="176"/>
      <c r="B160" s="176"/>
      <c r="C160" s="176"/>
      <c r="D160" s="176"/>
      <c r="E160" s="176"/>
      <c r="F160" s="176"/>
      <c r="G160" s="176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</row>
    <row r="161" spans="1:19" x14ac:dyDescent="0.25">
      <c r="A161" s="176"/>
      <c r="B161" s="176"/>
      <c r="C161" s="176"/>
      <c r="D161" s="176"/>
      <c r="E161" s="176"/>
      <c r="F161" s="176"/>
      <c r="G161" s="176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</row>
    <row r="162" spans="1:19" x14ac:dyDescent="0.25">
      <c r="A162" s="176"/>
      <c r="B162" s="176"/>
      <c r="C162" s="176"/>
      <c r="D162" s="176"/>
      <c r="E162" s="176"/>
      <c r="F162" s="176"/>
      <c r="G162" s="176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</row>
    <row r="163" spans="1:19" x14ac:dyDescent="0.25">
      <c r="A163" s="176"/>
      <c r="B163" s="176"/>
      <c r="C163" s="176"/>
      <c r="D163" s="176"/>
      <c r="E163" s="176"/>
      <c r="F163" s="176"/>
      <c r="G163" s="176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</row>
  </sheetData>
  <autoFilter ref="A1:S43" xr:uid="{7B578D88-6676-48C4-B1CB-0E22E9C787CE}"/>
  <mergeCells count="1">
    <mergeCell ref="P1:Q1"/>
  </mergeCells>
  <phoneticPr fontId="28" type="noConversion"/>
  <pageMargins left="0.7" right="0.7" top="0.75" bottom="0.75" header="0.3" footer="0.3"/>
  <ignoredErrors>
    <ignoredError sqref="O37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49"/>
  <sheetViews>
    <sheetView zoomScale="85" zoomScaleNormal="85" workbookViewId="0">
      <pane xSplit="6" ySplit="3" topLeftCell="O10" activePane="bottomRight" state="frozen"/>
      <selection pane="topRight" activeCell="G1" sqref="G1"/>
      <selection pane="bottomLeft" activeCell="A4" sqref="A4"/>
      <selection pane="bottomRight" activeCell="BL43" sqref="BL43"/>
    </sheetView>
  </sheetViews>
  <sheetFormatPr defaultColWidth="9.140625" defaultRowHeight="15.75" x14ac:dyDescent="0.25"/>
  <cols>
    <col min="1" max="1" width="8.7109375" style="8" customWidth="1"/>
    <col min="2" max="2" width="8.28515625" style="8" bestFit="1" customWidth="1"/>
    <col min="3" max="3" width="27" style="5" bestFit="1" customWidth="1"/>
    <col min="4" max="4" width="9.28515625" style="8" bestFit="1" customWidth="1"/>
    <col min="5" max="5" width="19.42578125" style="12" bestFit="1" customWidth="1"/>
    <col min="6" max="6" width="14.28515625" style="5" bestFit="1" customWidth="1"/>
    <col min="7" max="7" width="16.85546875" style="10" bestFit="1" customWidth="1"/>
    <col min="8" max="8" width="16.28515625" style="6" customWidth="1"/>
    <col min="9" max="9" width="17.28515625" style="6" customWidth="1"/>
    <col min="10" max="10" width="13.7109375" style="6" customWidth="1"/>
    <col min="11" max="11" width="14.5703125" style="6" customWidth="1"/>
    <col min="12" max="12" width="14.7109375" style="6" customWidth="1"/>
    <col min="13" max="14" width="15.28515625" style="6" customWidth="1"/>
    <col min="15" max="15" width="15.5703125" style="9" bestFit="1" customWidth="1"/>
    <col min="16" max="16" width="13.7109375" style="9" bestFit="1" customWidth="1"/>
    <col min="17" max="17" width="14.5703125" style="6" customWidth="1"/>
    <col min="18" max="18" width="12.85546875" style="6" bestFit="1" customWidth="1"/>
    <col min="19" max="19" width="14.85546875" style="6" customWidth="1"/>
    <col min="20" max="21" width="12.7109375" style="6" customWidth="1"/>
    <col min="22" max="23" width="15.140625" style="307" customWidth="1"/>
    <col min="24" max="27" width="15.140625" style="6" customWidth="1"/>
    <col min="28" max="28" width="14.28515625" style="6" customWidth="1"/>
    <col min="29" max="46" width="16" style="6" customWidth="1"/>
    <col min="47" max="47" width="12.28515625" style="6" bestFit="1" customWidth="1"/>
    <col min="48" max="48" width="9.7109375" style="6" bestFit="1" customWidth="1"/>
    <col min="49" max="50" width="15.140625" style="6" customWidth="1"/>
    <col min="51" max="51" width="15.28515625" customWidth="1"/>
    <col min="52" max="52" width="14.5703125" style="7" bestFit="1" customWidth="1"/>
    <col min="53" max="53" width="12.7109375" style="7" bestFit="1" customWidth="1"/>
    <col min="54" max="54" width="16.5703125" style="5" customWidth="1"/>
    <col min="55" max="55" width="18.140625" style="5" bestFit="1" customWidth="1"/>
    <col min="56" max="56" width="16" style="5" customWidth="1"/>
    <col min="57" max="57" width="12.42578125" style="5" bestFit="1" customWidth="1"/>
    <col min="58" max="16384" width="9.140625" style="5"/>
  </cols>
  <sheetData>
    <row r="1" spans="1:54" s="1" customFormat="1" ht="57.75" customHeight="1" x14ac:dyDescent="0.25">
      <c r="A1" s="372" t="s">
        <v>2</v>
      </c>
      <c r="B1" s="372" t="s">
        <v>3</v>
      </c>
      <c r="C1" s="372" t="s">
        <v>4</v>
      </c>
      <c r="D1" s="372" t="s">
        <v>62</v>
      </c>
      <c r="E1" s="372" t="s">
        <v>5</v>
      </c>
      <c r="F1" s="372" t="s">
        <v>63</v>
      </c>
      <c r="G1" s="374" t="s">
        <v>74</v>
      </c>
      <c r="H1" s="378" t="s">
        <v>213</v>
      </c>
      <c r="I1" s="379"/>
      <c r="J1" s="382" t="s">
        <v>186</v>
      </c>
      <c r="K1" s="382"/>
      <c r="L1" s="382"/>
      <c r="M1" s="383"/>
      <c r="N1" s="374" t="s">
        <v>214</v>
      </c>
      <c r="O1" s="380" t="s">
        <v>87</v>
      </c>
      <c r="P1" s="378" t="s">
        <v>92</v>
      </c>
      <c r="Q1" s="379"/>
      <c r="R1" s="378" t="s">
        <v>216</v>
      </c>
      <c r="S1" s="379"/>
      <c r="T1" s="378" t="s">
        <v>346</v>
      </c>
      <c r="U1" s="379"/>
      <c r="V1" s="384" t="s">
        <v>80</v>
      </c>
      <c r="W1" s="385"/>
      <c r="X1" s="386" t="s">
        <v>187</v>
      </c>
      <c r="Y1" s="386"/>
      <c r="Z1" s="386"/>
      <c r="AA1" s="379"/>
      <c r="AB1" s="376" t="s">
        <v>202</v>
      </c>
      <c r="AC1" s="376" t="s">
        <v>86</v>
      </c>
      <c r="AD1" s="378" t="s">
        <v>70</v>
      </c>
      <c r="AE1" s="386"/>
      <c r="AF1" s="386"/>
      <c r="AG1" s="379"/>
      <c r="AH1" s="374" t="s">
        <v>69</v>
      </c>
      <c r="AI1" s="389" t="s">
        <v>83</v>
      </c>
      <c r="AJ1" s="390"/>
      <c r="AK1" s="390"/>
      <c r="AL1" s="390"/>
      <c r="AM1" s="390"/>
      <c r="AN1" s="391"/>
      <c r="AO1" s="392" t="s">
        <v>82</v>
      </c>
      <c r="AP1" s="393"/>
      <c r="AQ1" s="393"/>
      <c r="AR1" s="393"/>
      <c r="AS1" s="394"/>
      <c r="AT1" s="378" t="s">
        <v>73</v>
      </c>
      <c r="AU1" s="386"/>
      <c r="AV1" s="386"/>
      <c r="AW1" s="379"/>
      <c r="AX1" s="374" t="s">
        <v>79</v>
      </c>
      <c r="AY1" s="374" t="s">
        <v>78</v>
      </c>
      <c r="AZ1" s="374" t="s">
        <v>77</v>
      </c>
      <c r="BA1" s="374" t="s">
        <v>109</v>
      </c>
      <c r="BB1" s="387" t="s">
        <v>76</v>
      </c>
    </row>
    <row r="2" spans="1:54" s="2" customFormat="1" ht="42.75" x14ac:dyDescent="0.25">
      <c r="A2" s="373"/>
      <c r="B2" s="373">
        <v>1</v>
      </c>
      <c r="C2" s="373">
        <v>2</v>
      </c>
      <c r="D2" s="373">
        <v>3</v>
      </c>
      <c r="E2" s="373">
        <v>4</v>
      </c>
      <c r="F2" s="373">
        <v>5</v>
      </c>
      <c r="G2" s="375"/>
      <c r="H2" s="25" t="s">
        <v>75</v>
      </c>
      <c r="I2" s="25" t="s">
        <v>64</v>
      </c>
      <c r="J2" s="25" t="s">
        <v>67</v>
      </c>
      <c r="K2" s="25" t="s">
        <v>7</v>
      </c>
      <c r="L2" s="25" t="s">
        <v>6</v>
      </c>
      <c r="M2" s="25" t="s">
        <v>68</v>
      </c>
      <c r="N2" s="375"/>
      <c r="O2" s="381"/>
      <c r="P2" s="27" t="s">
        <v>215</v>
      </c>
      <c r="Q2" s="25" t="s">
        <v>93</v>
      </c>
      <c r="R2" s="25" t="s">
        <v>217</v>
      </c>
      <c r="S2" s="25" t="s">
        <v>93</v>
      </c>
      <c r="T2" s="25" t="s">
        <v>217</v>
      </c>
      <c r="U2" s="25" t="s">
        <v>93</v>
      </c>
      <c r="V2" s="308" t="s">
        <v>66</v>
      </c>
      <c r="W2" s="308" t="s">
        <v>64</v>
      </c>
      <c r="X2" s="25" t="s">
        <v>67</v>
      </c>
      <c r="Y2" s="25" t="s">
        <v>7</v>
      </c>
      <c r="Z2" s="25" t="s">
        <v>6</v>
      </c>
      <c r="AA2" s="25" t="s">
        <v>68</v>
      </c>
      <c r="AB2" s="377"/>
      <c r="AC2" s="377"/>
      <c r="AD2" s="25" t="s">
        <v>65</v>
      </c>
      <c r="AE2" s="25" t="s">
        <v>6</v>
      </c>
      <c r="AF2" s="25" t="s">
        <v>68</v>
      </c>
      <c r="AG2" s="25" t="s">
        <v>94</v>
      </c>
      <c r="AH2" s="375"/>
      <c r="AI2" s="144" t="s">
        <v>206</v>
      </c>
      <c r="AJ2" s="25" t="s">
        <v>203</v>
      </c>
      <c r="AK2" s="25" t="s">
        <v>204</v>
      </c>
      <c r="AL2" s="25" t="s">
        <v>205</v>
      </c>
      <c r="AM2" s="184" t="s">
        <v>209</v>
      </c>
      <c r="AN2" s="25" t="s">
        <v>81</v>
      </c>
      <c r="AO2" s="25" t="s">
        <v>207</v>
      </c>
      <c r="AP2" s="25" t="s">
        <v>208</v>
      </c>
      <c r="AQ2" s="25" t="s">
        <v>204</v>
      </c>
      <c r="AR2" s="186" t="s">
        <v>210</v>
      </c>
      <c r="AS2" s="25" t="s">
        <v>72</v>
      </c>
      <c r="AT2" s="25" t="s">
        <v>211</v>
      </c>
      <c r="AU2" s="25" t="s">
        <v>84</v>
      </c>
      <c r="AV2" s="26" t="s">
        <v>212</v>
      </c>
      <c r="AW2" s="26" t="s">
        <v>85</v>
      </c>
      <c r="AX2" s="375"/>
      <c r="AY2" s="375"/>
      <c r="AZ2" s="375"/>
      <c r="BA2" s="375"/>
      <c r="BB2" s="388"/>
    </row>
    <row r="3" spans="1:54" s="4" customFormat="1" x14ac:dyDescent="0.25">
      <c r="A3" s="28">
        <v>1</v>
      </c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182">
        <v>6</v>
      </c>
      <c r="H3" s="182">
        <v>7</v>
      </c>
      <c r="I3" s="182">
        <v>8</v>
      </c>
      <c r="J3" s="182">
        <v>9</v>
      </c>
      <c r="K3" s="182">
        <v>10</v>
      </c>
      <c r="L3" s="182">
        <v>11</v>
      </c>
      <c r="M3" s="182">
        <v>12</v>
      </c>
      <c r="N3" s="28">
        <v>13</v>
      </c>
      <c r="O3" s="28">
        <v>14</v>
      </c>
      <c r="P3" s="28">
        <v>15</v>
      </c>
      <c r="Q3" s="28">
        <v>16</v>
      </c>
      <c r="R3" s="28">
        <v>17</v>
      </c>
      <c r="S3" s="28">
        <v>18</v>
      </c>
      <c r="T3" s="28">
        <v>17</v>
      </c>
      <c r="U3" s="28">
        <v>18</v>
      </c>
      <c r="V3" s="309">
        <v>19</v>
      </c>
      <c r="W3" s="309">
        <v>20</v>
      </c>
      <c r="X3" s="28">
        <v>21</v>
      </c>
      <c r="Y3" s="28">
        <v>22</v>
      </c>
      <c r="Z3" s="28">
        <v>23</v>
      </c>
      <c r="AA3" s="28">
        <v>24</v>
      </c>
      <c r="AB3" s="28">
        <v>25</v>
      </c>
      <c r="AC3" s="28">
        <v>26</v>
      </c>
      <c r="AD3" s="28">
        <v>27</v>
      </c>
      <c r="AE3" s="28">
        <v>28</v>
      </c>
      <c r="AF3" s="28">
        <v>29</v>
      </c>
      <c r="AG3" s="28">
        <v>30</v>
      </c>
      <c r="AH3" s="28">
        <v>31</v>
      </c>
      <c r="AI3" s="28" t="s">
        <v>293</v>
      </c>
      <c r="AJ3" s="28">
        <v>33</v>
      </c>
      <c r="AK3" s="28">
        <v>34</v>
      </c>
      <c r="AL3" s="28">
        <v>35</v>
      </c>
      <c r="AM3" s="28">
        <v>36</v>
      </c>
      <c r="AN3" s="28">
        <v>37</v>
      </c>
      <c r="AO3" s="28">
        <v>38</v>
      </c>
      <c r="AP3" s="28">
        <v>39</v>
      </c>
      <c r="AQ3" s="28">
        <v>40</v>
      </c>
      <c r="AR3" s="28">
        <v>41</v>
      </c>
      <c r="AS3" s="28">
        <v>42</v>
      </c>
      <c r="AT3" s="28">
        <v>43</v>
      </c>
      <c r="AU3" s="28">
        <v>44</v>
      </c>
      <c r="AV3" s="28">
        <v>45</v>
      </c>
      <c r="AW3" s="28">
        <v>46</v>
      </c>
      <c r="AX3" s="28">
        <v>47</v>
      </c>
      <c r="AY3" s="28">
        <v>48</v>
      </c>
      <c r="AZ3" s="28">
        <v>49</v>
      </c>
      <c r="BA3" s="28">
        <v>50</v>
      </c>
      <c r="BB3" s="28">
        <v>51</v>
      </c>
    </row>
    <row r="4" spans="1:54" s="224" customFormat="1" ht="20.25" customHeight="1" x14ac:dyDescent="0.25">
      <c r="A4" s="219">
        <v>1</v>
      </c>
      <c r="B4" s="30" t="s">
        <v>8</v>
      </c>
      <c r="C4" s="258" t="str">
        <f>+VLOOKUP($B4,'Bảng thông tin'!$B$4:$R$1002,2,0)</f>
        <v>Phạm Đăng Anh Thư</v>
      </c>
      <c r="D4" s="219" t="str">
        <f>+VLOOKUP($B4,'Bảng thông tin'!$B$4:$R$1002,3,0)</f>
        <v>HĐLĐ</v>
      </c>
      <c r="E4" s="219" t="str">
        <f>+VLOOKUP($B4,'Bảng thông tin'!$B$4:$R$1002,4,0)</f>
        <v>Tổng Giám Đốc</v>
      </c>
      <c r="F4" s="220" t="str">
        <f>+VLOOKUP($B4,'Bảng thông tin'!$B$4:$R$1002,5,0)</f>
        <v>Ban giám đốc</v>
      </c>
      <c r="G4" s="221">
        <f>+VLOOKUP($B4,'Bảng thông tin'!$B$4:$R$1002,7,0)</f>
        <v>18000000</v>
      </c>
      <c r="H4" s="221">
        <f>+VLOOKUP($B4,'Bảng thông tin'!$B$4:$R$1002,8,0)</f>
        <v>15000000</v>
      </c>
      <c r="I4" s="221">
        <f>+VLOOKUP($B4,'Bảng thông tin'!$B$4:$R$1002,9,0)</f>
        <v>3000000</v>
      </c>
      <c r="J4" s="221">
        <f>+VLOOKUP($B4,'Bảng thông tin'!$B$4:$R$1002,10,0)</f>
        <v>2600000</v>
      </c>
      <c r="K4" s="221">
        <f>+VLOOKUP($B4,'Bảng thông tin'!$B$4:$R$1002,11,0)</f>
        <v>0</v>
      </c>
      <c r="L4" s="221">
        <f>+VLOOKUP($B4,'Bảng thông tin'!$B$4:$R$1002,12,0)</f>
        <v>4000000</v>
      </c>
      <c r="M4" s="230">
        <f>+VLOOKUP($B4,'Bảng thông tin'!$B$4:$R$1002,13,0)</f>
        <v>400000</v>
      </c>
      <c r="N4" s="221">
        <f>+VLOOKUP($B4,'Bảng thông tin'!$B$4:$R$1002,14,0)</f>
        <v>25000000</v>
      </c>
      <c r="O4" s="222">
        <f>VLOOKUP($B4,BCC!$B$11:$AN$1032,35,0)</f>
        <v>26</v>
      </c>
      <c r="P4" s="222">
        <f>VLOOKUP($B4,BCC!$B$11:$AN$1032,38,0)+VLOOKUP($B4,BCC!$B$11:$AN$1032,39,0)</f>
        <v>0</v>
      </c>
      <c r="Q4" s="223">
        <f>+((H4+I4)/26)*P4</f>
        <v>0</v>
      </c>
      <c r="R4" s="222">
        <f>VLOOKUP($B4,BCC!$B$11:$AN$1032,36,0)</f>
        <v>8</v>
      </c>
      <c r="S4" s="223">
        <f>ROUND(((H4+I4)/26)/8*R4*1.5,0)</f>
        <v>1038462</v>
      </c>
      <c r="T4" s="222">
        <f>VLOOKUP($B4,BCC!$B$11:$AN$1032,37,0)</f>
        <v>0</v>
      </c>
      <c r="U4" s="223">
        <f>ROUND(((H4+I4)/26)/8*T4*2,0)</f>
        <v>0</v>
      </c>
      <c r="V4" s="306">
        <f>IF($D4="HĐTV",(H4/26)*$O4*0.85,(H4/26)*$O4)</f>
        <v>14999999.999999998</v>
      </c>
      <c r="W4" s="306">
        <f t="shared" ref="W4:W42" si="0">IF($D4="HĐTV",(I4/26)*$O4*0.85,($I4/26)*$O4)</f>
        <v>3000000</v>
      </c>
      <c r="X4" s="306">
        <f>(J4/26)*$O4</f>
        <v>2600000</v>
      </c>
      <c r="Y4" s="223">
        <f>(K4/26)*$O4</f>
        <v>0</v>
      </c>
      <c r="Z4" s="223">
        <f>(L4/26)*$O4</f>
        <v>4000000</v>
      </c>
      <c r="AA4" s="223">
        <f>IF($D4="HĐTV",M4/26*O4,(M4))</f>
        <v>400000</v>
      </c>
      <c r="AB4" s="223">
        <f>VLOOKUP($B4,'Bảng thông tin'!$B:$R,15,0)+VLOOKUP(B4,'Bảng thông tin'!$B:$Q,16,0)</f>
        <v>0</v>
      </c>
      <c r="AC4" s="223">
        <f>+SUM(V4:AB4)+Q4+S4+U4</f>
        <v>26038462</v>
      </c>
      <c r="AD4" s="223">
        <f>X4</f>
        <v>2600000</v>
      </c>
      <c r="AE4" s="223">
        <f>IF($D4="HĐTV",0,Z4)</f>
        <v>4000000</v>
      </c>
      <c r="AF4" s="223">
        <f>IF($D4="HĐTV",0,IF(AA4&lt;=(5000000/12),AA4,AA4-(AA4-(5000000/12))))</f>
        <v>400000</v>
      </c>
      <c r="AG4" s="223">
        <f>+S4+U4</f>
        <v>1038462</v>
      </c>
      <c r="AH4" s="223">
        <f>+SUM(AD4:AG4)</f>
        <v>8038462</v>
      </c>
      <c r="AI4" s="223">
        <f>IFERROR(IF($O4&lt;14,0,$G4*17%),0)</f>
        <v>3060000</v>
      </c>
      <c r="AJ4" s="223">
        <f>IFERROR(IF($O4&lt;14,0,$G4*3%),0)</f>
        <v>540000</v>
      </c>
      <c r="AK4" s="223">
        <f>IFERROR(IF($O4&lt;14,0,$G4*1%),0)</f>
        <v>180000</v>
      </c>
      <c r="AL4" s="223">
        <f>IFERROR(IF($O4&lt;14,0,$G4*0.5%),0)</f>
        <v>90000</v>
      </c>
      <c r="AM4" s="185">
        <f>IFERROR(SUM(AI4:AL4),0)</f>
        <v>3870000</v>
      </c>
      <c r="AN4" s="223">
        <f t="shared" ref="AN4:AN43" si="1">IFERROR($G4*2%,0)</f>
        <v>360000</v>
      </c>
      <c r="AO4" s="223">
        <f>IFERROR(IF($O4&lt;14,0,$G4*8%),0)</f>
        <v>1440000</v>
      </c>
      <c r="AP4" s="223">
        <f>IFERROR(IF($O4&lt;14,0,$G4*1.5%),0)</f>
        <v>270000</v>
      </c>
      <c r="AQ4" s="223">
        <f>IFERROR(IF($O4&lt;14,0,$G4*1%),0)</f>
        <v>180000</v>
      </c>
      <c r="AR4" s="185">
        <f>SUM(AO4:AQ4)</f>
        <v>1890000</v>
      </c>
      <c r="AS4" s="223">
        <f>+SUM($G$4)*0%</f>
        <v>0</v>
      </c>
      <c r="AT4" s="223">
        <f>IF($D4="HĐTV",0,15500000)</f>
        <v>15500000</v>
      </c>
      <c r="AU4" s="223"/>
      <c r="AV4" s="223">
        <f>+AU4*6200000</f>
        <v>0</v>
      </c>
      <c r="AW4" s="223">
        <f>+AT4+AV4</f>
        <v>15500000</v>
      </c>
      <c r="AX4" s="223">
        <f>ROUND(AC4-AH4,0)</f>
        <v>18000000</v>
      </c>
      <c r="AY4" s="223">
        <f>IF(AX4-AW4-AR4-AS4&lt;0,0,AX4-AW4-AR4-AS4)</f>
        <v>610000</v>
      </c>
      <c r="AZ4" s="223">
        <f t="shared" ref="AZ4:AZ40" si="2">IF(D4="HĐLĐ",IF(AY4&lt;=10000000,AY4*5%,IF(AY4&lt;=30000000,AY4*10%-500000,IF(AY4&lt;=60000000,AY4*20%-3500000,IF(AY4&lt;=100000000,AY4*30%-9500000,AY4*35%-14500000)))),AY4*10%)</f>
        <v>30500</v>
      </c>
      <c r="BA4" s="223">
        <f>+VLOOKUP($B4,'Bảng thông tin'!$B:$R,16,0)</f>
        <v>0</v>
      </c>
      <c r="BB4" s="328">
        <f>ROUND(AC4-AZ4-AR4-AS4-BA4,0)</f>
        <v>24117962</v>
      </c>
    </row>
    <row r="5" spans="1:54" s="224" customFormat="1" ht="20.25" customHeight="1" x14ac:dyDescent="0.25">
      <c r="A5" s="219">
        <v>2</v>
      </c>
      <c r="B5" s="30" t="s">
        <v>10</v>
      </c>
      <c r="C5" s="258" t="str">
        <f>+VLOOKUP($B5,'Bảng thông tin'!$B$4:$R$1002,2,0)</f>
        <v>Nguyễn Diệp Anh Tuấn</v>
      </c>
      <c r="D5" s="219" t="str">
        <f>+VLOOKUP($B5,'Bảng thông tin'!$B$4:$R$1002,3,0)</f>
        <v>HĐLĐ</v>
      </c>
      <c r="E5" s="225" t="s">
        <v>50</v>
      </c>
      <c r="F5" s="220" t="str">
        <f>+VLOOKUP($B5,'Bảng thông tin'!$B$4:$R$1002,5,0)</f>
        <v>Ban giám đốc</v>
      </c>
      <c r="G5" s="221">
        <f>+VLOOKUP($B5,'Bảng thông tin'!$B$4:$R$1002,7,0)</f>
        <v>14000000</v>
      </c>
      <c r="H5" s="221">
        <f>+VLOOKUP($B5,'Bảng thông tin'!$B$4:$R$1002,8,0)</f>
        <v>12000000</v>
      </c>
      <c r="I5" s="221">
        <f>+VLOOKUP($B5,'Bảng thông tin'!$B$4:$R$1002,9,0)</f>
        <v>2000000</v>
      </c>
      <c r="J5" s="221">
        <f>+VLOOKUP($B5,'Bảng thông tin'!$B$4:$R$1002,10,0)</f>
        <v>2000000</v>
      </c>
      <c r="K5" s="221">
        <f>+VLOOKUP($B5,'Bảng thông tin'!$B$4:$R$1002,11,0)</f>
        <v>1000000</v>
      </c>
      <c r="L5" s="221">
        <f>+VLOOKUP($B5,'Bảng thông tin'!$B$4:$R$1002,12,0)</f>
        <v>2600000</v>
      </c>
      <c r="M5" s="230">
        <f>+VLOOKUP($B5,'Bảng thông tin'!$B$4:$R$1002,13,0)</f>
        <v>400000</v>
      </c>
      <c r="N5" s="221">
        <f>+VLOOKUP($B5,'Bảng thông tin'!$B$4:$R$1002,14,0)</f>
        <v>20000000</v>
      </c>
      <c r="O5" s="222">
        <f>VLOOKUP($B5,BCC!$B$11:$AN$1032,35,0)</f>
        <v>26</v>
      </c>
      <c r="P5" s="222">
        <f>VLOOKUP($B5,BCC!$B$11:$AN$1032,38,0)+VLOOKUP($B5,BCC!$B$11:$AN$1032,39,0)</f>
        <v>0</v>
      </c>
      <c r="Q5" s="223">
        <f t="shared" ref="Q5:Q22" si="3">+((H5+I5)/26)*P5</f>
        <v>0</v>
      </c>
      <c r="R5" s="222">
        <f>VLOOKUP($B5,BCC!$B$11:$AN$1032,36,0)</f>
        <v>0</v>
      </c>
      <c r="S5" s="223">
        <f t="shared" ref="S5:S43" si="4">ROUND(((H5+I5)/26)/8*R5*1.5,0)</f>
        <v>0</v>
      </c>
      <c r="T5" s="222">
        <f>VLOOKUP($B5,BCC!$B$11:$AN$1032,37,0)</f>
        <v>0</v>
      </c>
      <c r="U5" s="223">
        <f t="shared" ref="U5:U43" si="5">ROUND(((H5+I5)/26)/8*T5*2,0)</f>
        <v>0</v>
      </c>
      <c r="V5" s="306">
        <f t="shared" ref="V5:V41" si="6">IF($D5="HĐTV",(H5/26)*$O5*0.85,(H5/26)*$O5)</f>
        <v>12000000</v>
      </c>
      <c r="W5" s="306">
        <f t="shared" si="0"/>
        <v>2000000</v>
      </c>
      <c r="X5" s="223">
        <f>(J5/26)*$O5</f>
        <v>2000000</v>
      </c>
      <c r="Y5" s="223">
        <f t="shared" ref="Y5:Y34" si="7">(K5/26)*$O5</f>
        <v>1000000</v>
      </c>
      <c r="Z5" s="223">
        <f>(L5/26)*$O5</f>
        <v>2600000</v>
      </c>
      <c r="AA5" s="223">
        <f t="shared" ref="AA5:AA35" si="8">IF($D5="HĐTV",M5/26*O5,(M5))</f>
        <v>400000</v>
      </c>
      <c r="AB5" s="223">
        <f>VLOOKUP($B5,'Bảng thông tin'!$B:$R,15,0)+VLOOKUP(B5,'Bảng thông tin'!$B:$Q,16,0)</f>
        <v>0</v>
      </c>
      <c r="AC5" s="223">
        <f t="shared" ref="AC5:AC43" si="9">+SUM(V5:AB5)+Q5+S5+U5</f>
        <v>20000000</v>
      </c>
      <c r="AD5" s="223">
        <f t="shared" ref="AD5:AD37" si="10">X5</f>
        <v>2000000</v>
      </c>
      <c r="AE5" s="223">
        <f t="shared" ref="AE5:AE35" si="11">IF($D5="HĐTV",0,Z5)</f>
        <v>2600000</v>
      </c>
      <c r="AF5" s="223">
        <f t="shared" ref="AF5:AF35" si="12">IF($D5="HĐTV",0,IF(AA5&lt;=(5000000/12),AA5,AA5-(AA5-(5000000/12))))</f>
        <v>400000</v>
      </c>
      <c r="AG5" s="223">
        <f t="shared" ref="AG5:AG43" si="13">+S5+U5</f>
        <v>0</v>
      </c>
      <c r="AH5" s="223">
        <f t="shared" ref="AH5:AH35" si="14">+SUM(AD5:AG5)</f>
        <v>5000000</v>
      </c>
      <c r="AI5" s="223">
        <f t="shared" ref="AI5:AI43" si="15">IFERROR(IF($O5&lt;14,0,$G5*17%),0)</f>
        <v>2380000</v>
      </c>
      <c r="AJ5" s="223">
        <f t="shared" ref="AJ5:AJ43" si="16">IFERROR(IF($O5&lt;14,0,$G5*3%),0)</f>
        <v>420000</v>
      </c>
      <c r="AK5" s="223">
        <f t="shared" ref="AK5:AK43" si="17">IFERROR(IF($O5&lt;14,0,$G5*1%),0)</f>
        <v>140000</v>
      </c>
      <c r="AL5" s="223">
        <f t="shared" ref="AL5:AL43" si="18">IFERROR(IF($O5&lt;14,0,$G5*0.5%),0)</f>
        <v>70000</v>
      </c>
      <c r="AM5" s="185">
        <f t="shared" ref="AM5:AM35" si="19">IFERROR(SUM(AI5:AL5),0)</f>
        <v>3010000</v>
      </c>
      <c r="AN5" s="223">
        <f t="shared" si="1"/>
        <v>280000</v>
      </c>
      <c r="AO5" s="223">
        <f t="shared" ref="AO5:AO43" si="20">IFERROR(IF($O5&lt;14,0,$G5*8%),0)</f>
        <v>1120000</v>
      </c>
      <c r="AP5" s="223">
        <f t="shared" ref="AP5:AP43" si="21">IFERROR(IF($O5&lt;14,0,$G5*1.5%),0)</f>
        <v>210000</v>
      </c>
      <c r="AQ5" s="223">
        <f t="shared" ref="AQ5:AQ43" si="22">IFERROR(IF($O5&lt;14,0,$G5*1%),0)</f>
        <v>140000</v>
      </c>
      <c r="AR5" s="185">
        <f t="shared" ref="AR5:AR35" si="23">SUM(AO5:AQ5)</f>
        <v>1470000</v>
      </c>
      <c r="AS5" s="223">
        <f t="shared" ref="AS5:AS43" si="24">+SUM($G$4)*0%</f>
        <v>0</v>
      </c>
      <c r="AT5" s="223">
        <f t="shared" ref="AT5:AT43" si="25">IF($D5="HĐTV",0,15500000)</f>
        <v>15500000</v>
      </c>
      <c r="AU5" s="223"/>
      <c r="AV5" s="223">
        <f t="shared" ref="AV5:AV35" si="26">+AU5*6200000</f>
        <v>0</v>
      </c>
      <c r="AW5" s="223">
        <f t="shared" ref="AW5:AW35" si="27">+AT5+AV5</f>
        <v>15500000</v>
      </c>
      <c r="AX5" s="223">
        <f t="shared" ref="AX5:AX43" si="28">ROUND(AC5-AH5,0)</f>
        <v>15000000</v>
      </c>
      <c r="AY5" s="223">
        <f t="shared" ref="AY5:AY35" si="29">IF(AX5-AW5-AR5-AS5&lt;0,0,AX5-AW5-AR5-AS5)</f>
        <v>0</v>
      </c>
      <c r="AZ5" s="223">
        <f t="shared" si="2"/>
        <v>0</v>
      </c>
      <c r="BA5" s="223">
        <f>+VLOOKUP($B5,'Bảng thông tin'!$B:$R,16,0)</f>
        <v>0</v>
      </c>
      <c r="BB5" s="328">
        <f t="shared" ref="BB5:BB41" si="30">ROUND(AC5-AZ5-AR5-AS5-BA5,0)</f>
        <v>18530000</v>
      </c>
    </row>
    <row r="6" spans="1:54" s="224" customFormat="1" ht="20.25" customHeight="1" x14ac:dyDescent="0.25">
      <c r="A6" s="219">
        <v>3</v>
      </c>
      <c r="B6" s="259" t="s">
        <v>161</v>
      </c>
      <c r="C6" s="258" t="str">
        <f>+VLOOKUP($B6,'Bảng thông tin'!$B$4:$R$1002,2,0)</f>
        <v>Nguyễn Diệu Quý Chi</v>
      </c>
      <c r="D6" s="219" t="str">
        <f>+VLOOKUP($B6,'Bảng thông tin'!$B$4:$R$1002,3,0)</f>
        <v>HĐLĐ</v>
      </c>
      <c r="E6" s="225" t="s">
        <v>51</v>
      </c>
      <c r="F6" s="226" t="s">
        <v>52</v>
      </c>
      <c r="G6" s="221">
        <f>+VLOOKUP($B6,'Bảng thông tin'!$B$4:$R$1002,7,0)</f>
        <v>8500000</v>
      </c>
      <c r="H6" s="221">
        <f>+VLOOKUP($B6,'Bảng thông tin'!$B$4:$R$1002,8,0)</f>
        <v>7500000</v>
      </c>
      <c r="I6" s="221">
        <f>+VLOOKUP($B6,'Bảng thông tin'!$B$4:$R$1002,9,0)</f>
        <v>1000000</v>
      </c>
      <c r="J6" s="221">
        <f>+VLOOKUP($B6,'Bảng thông tin'!$B$4:$R$1002,10,0)</f>
        <v>1800000</v>
      </c>
      <c r="K6" s="221">
        <f>+VLOOKUP($B6,'Bảng thông tin'!$B$4:$R$1002,11,0)</f>
        <v>500000</v>
      </c>
      <c r="L6" s="221">
        <f>+VLOOKUP($B6,'Bảng thông tin'!$B$4:$R$1002,12,0)</f>
        <v>400000</v>
      </c>
      <c r="M6" s="230">
        <f>+VLOOKUP($B6,'Bảng thông tin'!$B$4:$R$1002,13,0)</f>
        <v>400000</v>
      </c>
      <c r="N6" s="221">
        <f>+VLOOKUP($B6,'Bảng thông tin'!$B$4:$R$1002,14,0)</f>
        <v>11600000</v>
      </c>
      <c r="O6" s="222">
        <f>VLOOKUP($B6,BCC!$B$11:$AN$1032,35,0)</f>
        <v>26</v>
      </c>
      <c r="P6" s="222">
        <f>VLOOKUP($B6,BCC!$B$11:$AN$1032,38,0)+VLOOKUP($B6,BCC!$B$11:$AN$1032,39,0)</f>
        <v>0</v>
      </c>
      <c r="Q6" s="223">
        <f t="shared" si="3"/>
        <v>0</v>
      </c>
      <c r="R6" s="222">
        <f>VLOOKUP($B6,BCC!$B$11:$AN$1032,36,0)</f>
        <v>0</v>
      </c>
      <c r="S6" s="223">
        <f t="shared" si="4"/>
        <v>0</v>
      </c>
      <c r="T6" s="222">
        <f>VLOOKUP($B6,BCC!$B$11:$AN$1032,37,0)</f>
        <v>0</v>
      </c>
      <c r="U6" s="223">
        <f t="shared" si="5"/>
        <v>0</v>
      </c>
      <c r="V6" s="306">
        <f t="shared" si="6"/>
        <v>7499999.9999999991</v>
      </c>
      <c r="W6" s="306">
        <f t="shared" si="0"/>
        <v>1000000</v>
      </c>
      <c r="X6" s="223">
        <f t="shared" ref="X6:X34" si="31">(J6/26)*$O6</f>
        <v>1800000</v>
      </c>
      <c r="Y6" s="223">
        <f t="shared" si="7"/>
        <v>500000</v>
      </c>
      <c r="Z6" s="223">
        <f t="shared" ref="Z6:Z34" si="32">(L6/26)*$O6</f>
        <v>400000</v>
      </c>
      <c r="AA6" s="223">
        <f t="shared" si="8"/>
        <v>400000</v>
      </c>
      <c r="AB6" s="223">
        <f>VLOOKUP($B6,'Bảng thông tin'!$B:$R,15,0)+VLOOKUP(B6,'Bảng thông tin'!$B:$Q,16,0)</f>
        <v>0</v>
      </c>
      <c r="AC6" s="223">
        <f t="shared" si="9"/>
        <v>11600000</v>
      </c>
      <c r="AD6" s="223">
        <f t="shared" si="10"/>
        <v>1800000</v>
      </c>
      <c r="AE6" s="223">
        <f t="shared" si="11"/>
        <v>400000</v>
      </c>
      <c r="AF6" s="223">
        <f t="shared" si="12"/>
        <v>400000</v>
      </c>
      <c r="AG6" s="223">
        <f t="shared" si="13"/>
        <v>0</v>
      </c>
      <c r="AH6" s="223">
        <f t="shared" si="14"/>
        <v>2600000</v>
      </c>
      <c r="AI6" s="223">
        <f t="shared" si="15"/>
        <v>1445000</v>
      </c>
      <c r="AJ6" s="223">
        <f>IFERROR(IF($O6&lt;14,0,$G6*3%),0)</f>
        <v>255000</v>
      </c>
      <c r="AK6" s="223">
        <f t="shared" si="17"/>
        <v>85000</v>
      </c>
      <c r="AL6" s="223">
        <f t="shared" si="18"/>
        <v>42500</v>
      </c>
      <c r="AM6" s="185">
        <f t="shared" si="19"/>
        <v>1827500</v>
      </c>
      <c r="AN6" s="223">
        <f t="shared" si="1"/>
        <v>170000</v>
      </c>
      <c r="AO6" s="223">
        <f t="shared" si="20"/>
        <v>680000</v>
      </c>
      <c r="AP6" s="223">
        <f t="shared" si="21"/>
        <v>127500</v>
      </c>
      <c r="AQ6" s="223">
        <f t="shared" si="22"/>
        <v>85000</v>
      </c>
      <c r="AR6" s="185">
        <f t="shared" si="23"/>
        <v>892500</v>
      </c>
      <c r="AS6" s="223">
        <f t="shared" si="24"/>
        <v>0</v>
      </c>
      <c r="AT6" s="223">
        <f t="shared" si="25"/>
        <v>15500000</v>
      </c>
      <c r="AU6" s="223"/>
      <c r="AV6" s="223">
        <f t="shared" si="26"/>
        <v>0</v>
      </c>
      <c r="AW6" s="223">
        <f t="shared" si="27"/>
        <v>15500000</v>
      </c>
      <c r="AX6" s="223">
        <f t="shared" si="28"/>
        <v>9000000</v>
      </c>
      <c r="AY6" s="223">
        <f t="shared" si="29"/>
        <v>0</v>
      </c>
      <c r="AZ6" s="223">
        <f t="shared" si="2"/>
        <v>0</v>
      </c>
      <c r="BA6" s="223">
        <f>+VLOOKUP($B6,'Bảng thông tin'!$B:$R,16,0)</f>
        <v>0</v>
      </c>
      <c r="BB6" s="328">
        <f t="shared" si="30"/>
        <v>10707500</v>
      </c>
    </row>
    <row r="7" spans="1:54" s="224" customFormat="1" ht="20.25" customHeight="1" x14ac:dyDescent="0.25">
      <c r="A7" s="219">
        <v>4</v>
      </c>
      <c r="B7" s="259" t="s">
        <v>13</v>
      </c>
      <c r="C7" s="258" t="str">
        <f>+VLOOKUP($B7,'Bảng thông tin'!$B$4:$R$1002,2,0)</f>
        <v>Phạm Đăng Anh Thảo</v>
      </c>
      <c r="D7" s="219" t="str">
        <f>+VLOOKUP($B7,'Bảng thông tin'!$B$4:$R$1002,3,0)</f>
        <v>HĐLĐ</v>
      </c>
      <c r="E7" s="225" t="s">
        <v>53</v>
      </c>
      <c r="F7" s="226" t="s">
        <v>52</v>
      </c>
      <c r="G7" s="221">
        <f>+VLOOKUP($B7,'Bảng thông tin'!$B$4:$R$1002,7,0)</f>
        <v>8000000</v>
      </c>
      <c r="H7" s="221">
        <f>+VLOOKUP($B7,'Bảng thông tin'!$B$4:$R$1002,8,0)</f>
        <v>7000000</v>
      </c>
      <c r="I7" s="221">
        <f>+VLOOKUP($B7,'Bảng thông tin'!$B$4:$R$1002,9,0)</f>
        <v>1000000</v>
      </c>
      <c r="J7" s="221">
        <f>+VLOOKUP($B7,'Bảng thông tin'!$B$4:$R$1002,10,0)</f>
        <v>1300000</v>
      </c>
      <c r="K7" s="221">
        <f>+VLOOKUP($B7,'Bảng thông tin'!$B$4:$R$1002,11,0)</f>
        <v>500000</v>
      </c>
      <c r="L7" s="221">
        <f>+VLOOKUP($B7,'Bảng thông tin'!$B$4:$R$1002,12,0)</f>
        <v>400000</v>
      </c>
      <c r="M7" s="230">
        <f>+VLOOKUP($B7,'Bảng thông tin'!$B$4:$R$1002,13,0)</f>
        <v>400000</v>
      </c>
      <c r="N7" s="221">
        <f>+VLOOKUP($B7,'Bảng thông tin'!$B$4:$R$1002,14,0)</f>
        <v>10600000</v>
      </c>
      <c r="O7" s="222">
        <f>VLOOKUP($B7,BCC!$B$11:$AN$1032,35,0)</f>
        <v>25</v>
      </c>
      <c r="P7" s="222">
        <f>VLOOKUP($B7,BCC!$B$11:$AN$1032,38,0)+VLOOKUP($B7,BCC!$B$11:$AN$1032,39,0)</f>
        <v>1</v>
      </c>
      <c r="Q7" s="223">
        <f>+((H7+I7)/26)*P7</f>
        <v>307692.30769230769</v>
      </c>
      <c r="R7" s="222">
        <f>VLOOKUP($B7,BCC!$B$11:$AN$1032,36,0)</f>
        <v>0</v>
      </c>
      <c r="S7" s="223">
        <f t="shared" si="4"/>
        <v>0</v>
      </c>
      <c r="T7" s="222">
        <f>VLOOKUP($B7,BCC!$B$11:$AN$1032,37,0)</f>
        <v>0</v>
      </c>
      <c r="U7" s="223">
        <f t="shared" si="5"/>
        <v>0</v>
      </c>
      <c r="V7" s="306">
        <f t="shared" si="6"/>
        <v>6730769.230769231</v>
      </c>
      <c r="W7" s="306">
        <f t="shared" si="0"/>
        <v>961538.4615384615</v>
      </c>
      <c r="X7" s="223">
        <f t="shared" si="31"/>
        <v>1250000</v>
      </c>
      <c r="Y7" s="223">
        <f t="shared" si="7"/>
        <v>480769.23076923075</v>
      </c>
      <c r="Z7" s="223">
        <f t="shared" si="32"/>
        <v>384615.38461538462</v>
      </c>
      <c r="AA7" s="223">
        <f t="shared" si="8"/>
        <v>400000</v>
      </c>
      <c r="AB7" s="223">
        <f>VLOOKUP($B7,'Bảng thông tin'!$B:$R,15,0)+VLOOKUP(B7,'Bảng thông tin'!$B:$Q,16,0)</f>
        <v>0</v>
      </c>
      <c r="AC7" s="223">
        <f t="shared" si="9"/>
        <v>10515384.615384614</v>
      </c>
      <c r="AD7" s="223">
        <f t="shared" si="10"/>
        <v>1250000</v>
      </c>
      <c r="AE7" s="223">
        <f t="shared" si="11"/>
        <v>384615.38461538462</v>
      </c>
      <c r="AF7" s="223">
        <f t="shared" si="12"/>
        <v>400000</v>
      </c>
      <c r="AG7" s="223">
        <f t="shared" si="13"/>
        <v>0</v>
      </c>
      <c r="AH7" s="223">
        <f t="shared" si="14"/>
        <v>2034615.3846153845</v>
      </c>
      <c r="AI7" s="223">
        <f t="shared" si="15"/>
        <v>1360000</v>
      </c>
      <c r="AJ7" s="223">
        <f t="shared" si="16"/>
        <v>240000</v>
      </c>
      <c r="AK7" s="223">
        <f t="shared" si="17"/>
        <v>80000</v>
      </c>
      <c r="AL7" s="223">
        <f t="shared" si="18"/>
        <v>40000</v>
      </c>
      <c r="AM7" s="185">
        <f t="shared" si="19"/>
        <v>1720000</v>
      </c>
      <c r="AN7" s="223">
        <f t="shared" si="1"/>
        <v>160000</v>
      </c>
      <c r="AO7" s="223">
        <f t="shared" si="20"/>
        <v>640000</v>
      </c>
      <c r="AP7" s="223">
        <f t="shared" si="21"/>
        <v>120000</v>
      </c>
      <c r="AQ7" s="223">
        <f t="shared" si="22"/>
        <v>80000</v>
      </c>
      <c r="AR7" s="185">
        <f t="shared" si="23"/>
        <v>840000</v>
      </c>
      <c r="AS7" s="223">
        <f t="shared" si="24"/>
        <v>0</v>
      </c>
      <c r="AT7" s="223">
        <f t="shared" si="25"/>
        <v>15500000</v>
      </c>
      <c r="AU7" s="223"/>
      <c r="AV7" s="223">
        <f t="shared" si="26"/>
        <v>0</v>
      </c>
      <c r="AW7" s="223">
        <f t="shared" si="27"/>
        <v>15500000</v>
      </c>
      <c r="AX7" s="223">
        <f t="shared" si="28"/>
        <v>8480769</v>
      </c>
      <c r="AY7" s="223">
        <f t="shared" si="29"/>
        <v>0</v>
      </c>
      <c r="AZ7" s="223">
        <f t="shared" si="2"/>
        <v>0</v>
      </c>
      <c r="BA7" s="223">
        <f>+VLOOKUP($B7,'Bảng thông tin'!$B:$R,16,0)</f>
        <v>0</v>
      </c>
      <c r="BB7" s="328">
        <f t="shared" si="30"/>
        <v>9675385</v>
      </c>
    </row>
    <row r="8" spans="1:54" s="224" customFormat="1" ht="20.25" customHeight="1" x14ac:dyDescent="0.25">
      <c r="A8" s="219">
        <v>5</v>
      </c>
      <c r="B8" s="259" t="s">
        <v>15</v>
      </c>
      <c r="C8" s="258" t="str">
        <f>+VLOOKUP($B8,'Bảng thông tin'!$B$4:$R$1002,2,0)</f>
        <v>Nguyễn Thành Long</v>
      </c>
      <c r="D8" s="219" t="str">
        <f>+VLOOKUP($B8,'Bảng thông tin'!$B$4:$R$1002,3,0)</f>
        <v>HĐLĐ</v>
      </c>
      <c r="E8" s="225" t="s">
        <v>54</v>
      </c>
      <c r="F8" s="226" t="s">
        <v>52</v>
      </c>
      <c r="G8" s="221">
        <f>+VLOOKUP($B8,'Bảng thông tin'!$B$4:$R$1002,7,0)</f>
        <v>7000000</v>
      </c>
      <c r="H8" s="221">
        <f>+VLOOKUP($B8,'Bảng thông tin'!$B$4:$R$1002,8,0)</f>
        <v>6500000</v>
      </c>
      <c r="I8" s="221">
        <f>+VLOOKUP($B8,'Bảng thông tin'!$B$4:$R$1002,9,0)</f>
        <v>500000</v>
      </c>
      <c r="J8" s="221">
        <f>+VLOOKUP($B8,'Bảng thông tin'!$B$4:$R$1002,10,0)</f>
        <v>1000000</v>
      </c>
      <c r="K8" s="221">
        <f>+VLOOKUP($B8,'Bảng thông tin'!$B$4:$R$1002,11,0)</f>
        <v>500000</v>
      </c>
      <c r="L8" s="221">
        <f>+VLOOKUP($B8,'Bảng thông tin'!$B$4:$R$1002,12,0)</f>
        <v>300000</v>
      </c>
      <c r="M8" s="230">
        <f>+VLOOKUP($B8,'Bảng thông tin'!$B$4:$R$1002,13,0)</f>
        <v>400000</v>
      </c>
      <c r="N8" s="221">
        <f>+VLOOKUP($B8,'Bảng thông tin'!$B$4:$R$1002,14,0)</f>
        <v>9200000</v>
      </c>
      <c r="O8" s="222">
        <f>VLOOKUP($B8,BCC!$B$11:$AN$1032,35,0)</f>
        <v>26</v>
      </c>
      <c r="P8" s="222">
        <f>VLOOKUP($B8,BCC!$B$11:$AN$1032,38,0)+VLOOKUP($B8,BCC!$B$11:$AN$1032,39,0)</f>
        <v>0</v>
      </c>
      <c r="Q8" s="223">
        <f t="shared" si="3"/>
        <v>0</v>
      </c>
      <c r="R8" s="222">
        <f>VLOOKUP($B8,BCC!$B$11:$AN$1032,36,0)</f>
        <v>8</v>
      </c>
      <c r="S8" s="223">
        <f t="shared" si="4"/>
        <v>403846</v>
      </c>
      <c r="T8" s="222">
        <f>VLOOKUP($B8,BCC!$B$11:$AN$1032,37,0)</f>
        <v>16</v>
      </c>
      <c r="U8" s="223">
        <f t="shared" si="5"/>
        <v>1076923</v>
      </c>
      <c r="V8" s="306">
        <f t="shared" si="6"/>
        <v>6500000</v>
      </c>
      <c r="W8" s="306">
        <f t="shared" si="0"/>
        <v>500000</v>
      </c>
      <c r="X8" s="223">
        <f>(J8/26)*$O8</f>
        <v>1000000</v>
      </c>
      <c r="Y8" s="223">
        <f t="shared" si="7"/>
        <v>500000</v>
      </c>
      <c r="Z8" s="223">
        <f t="shared" si="32"/>
        <v>300000</v>
      </c>
      <c r="AA8" s="223">
        <f t="shared" si="8"/>
        <v>400000</v>
      </c>
      <c r="AB8" s="223">
        <f>VLOOKUP($B8,'Bảng thông tin'!$B:$R,15,0)+VLOOKUP(B8,'Bảng thông tin'!$B:$Q,16,0)</f>
        <v>0</v>
      </c>
      <c r="AC8" s="223">
        <f t="shared" si="9"/>
        <v>10680769</v>
      </c>
      <c r="AD8" s="223">
        <f t="shared" si="10"/>
        <v>1000000</v>
      </c>
      <c r="AE8" s="223">
        <f t="shared" si="11"/>
        <v>300000</v>
      </c>
      <c r="AF8" s="223">
        <f t="shared" si="12"/>
        <v>400000</v>
      </c>
      <c r="AG8" s="223">
        <f t="shared" si="13"/>
        <v>1480769</v>
      </c>
      <c r="AH8" s="223">
        <f t="shared" si="14"/>
        <v>3180769</v>
      </c>
      <c r="AI8" s="223">
        <f t="shared" si="15"/>
        <v>1190000</v>
      </c>
      <c r="AJ8" s="223">
        <f t="shared" si="16"/>
        <v>210000</v>
      </c>
      <c r="AK8" s="223">
        <f t="shared" si="17"/>
        <v>70000</v>
      </c>
      <c r="AL8" s="223">
        <f t="shared" si="18"/>
        <v>35000</v>
      </c>
      <c r="AM8" s="185">
        <f t="shared" si="19"/>
        <v>1505000</v>
      </c>
      <c r="AN8" s="223">
        <f t="shared" si="1"/>
        <v>140000</v>
      </c>
      <c r="AO8" s="223">
        <f t="shared" si="20"/>
        <v>560000</v>
      </c>
      <c r="AP8" s="223">
        <f t="shared" si="21"/>
        <v>105000</v>
      </c>
      <c r="AQ8" s="223">
        <f t="shared" si="22"/>
        <v>70000</v>
      </c>
      <c r="AR8" s="185">
        <f t="shared" si="23"/>
        <v>735000</v>
      </c>
      <c r="AS8" s="223">
        <f t="shared" si="24"/>
        <v>0</v>
      </c>
      <c r="AT8" s="223">
        <f t="shared" si="25"/>
        <v>15500000</v>
      </c>
      <c r="AU8" s="223"/>
      <c r="AV8" s="223">
        <f t="shared" si="26"/>
        <v>0</v>
      </c>
      <c r="AW8" s="223">
        <f t="shared" si="27"/>
        <v>15500000</v>
      </c>
      <c r="AX8" s="223">
        <f t="shared" si="28"/>
        <v>7500000</v>
      </c>
      <c r="AY8" s="223">
        <f t="shared" si="29"/>
        <v>0</v>
      </c>
      <c r="AZ8" s="223">
        <f t="shared" si="2"/>
        <v>0</v>
      </c>
      <c r="BA8" s="223">
        <f>+VLOOKUP($B8,'Bảng thông tin'!$B:$R,16,0)</f>
        <v>0</v>
      </c>
      <c r="BB8" s="328">
        <f t="shared" si="30"/>
        <v>9945769</v>
      </c>
    </row>
    <row r="9" spans="1:54" s="224" customFormat="1" ht="20.25" customHeight="1" x14ac:dyDescent="0.25">
      <c r="A9" s="219">
        <v>6</v>
      </c>
      <c r="B9" s="259" t="s">
        <v>17</v>
      </c>
      <c r="C9" s="258" t="str">
        <f>+VLOOKUP($B9,'Bảng thông tin'!$B$4:$R$1002,2,0)</f>
        <v>Nguyễn Thị Đài Trang</v>
      </c>
      <c r="D9" s="219" t="str">
        <f>+VLOOKUP($B9,'Bảng thông tin'!$B$4:$R$1002,3,0)</f>
        <v>HĐLĐ</v>
      </c>
      <c r="E9" s="225" t="s">
        <v>54</v>
      </c>
      <c r="F9" s="226" t="s">
        <v>52</v>
      </c>
      <c r="G9" s="221">
        <f>+VLOOKUP($B9,'Bảng thông tin'!$B$4:$R$1002,7,0)</f>
        <v>7000000</v>
      </c>
      <c r="H9" s="221">
        <f>+VLOOKUP($B9,'Bảng thông tin'!$B$4:$R$1002,8,0)</f>
        <v>6500000</v>
      </c>
      <c r="I9" s="221">
        <f>+VLOOKUP($B9,'Bảng thông tin'!$B$4:$R$1002,9,0)</f>
        <v>500000</v>
      </c>
      <c r="J9" s="221">
        <f>+VLOOKUP($B9,'Bảng thông tin'!$B$4:$R$1002,10,0)</f>
        <v>1000000</v>
      </c>
      <c r="K9" s="221">
        <f>+VLOOKUP($B9,'Bảng thông tin'!$B$4:$R$1002,11,0)</f>
        <v>500000</v>
      </c>
      <c r="L9" s="221">
        <f>+VLOOKUP($B9,'Bảng thông tin'!$B$4:$R$1002,12,0)</f>
        <v>300000</v>
      </c>
      <c r="M9" s="230">
        <f>+VLOOKUP($B9,'Bảng thông tin'!$B$4:$R$1002,13,0)</f>
        <v>400000</v>
      </c>
      <c r="N9" s="221">
        <f>+VLOOKUP($B9,'Bảng thông tin'!$B$4:$R$1002,14,0)</f>
        <v>9200000</v>
      </c>
      <c r="O9" s="222">
        <f>VLOOKUP($B9,BCC!$B$11:$AN$1032,35,0)</f>
        <v>26</v>
      </c>
      <c r="P9" s="222">
        <f>VLOOKUP($B9,BCC!$B$11:$AN$1032,38,0)+VLOOKUP($B9,BCC!$B$11:$AN$1032,39,0)</f>
        <v>0</v>
      </c>
      <c r="Q9" s="223">
        <f t="shared" si="3"/>
        <v>0</v>
      </c>
      <c r="R9" s="222">
        <f>VLOOKUP($B9,BCC!$B$11:$AN$1032,36,0)</f>
        <v>25.950000000000003</v>
      </c>
      <c r="S9" s="223">
        <f t="shared" si="4"/>
        <v>1309976</v>
      </c>
      <c r="T9" s="222">
        <f>VLOOKUP($B9,BCC!$B$11:$AN$1032,37,0)</f>
        <v>8</v>
      </c>
      <c r="U9" s="223">
        <f t="shared" si="5"/>
        <v>538462</v>
      </c>
      <c r="V9" s="306">
        <f t="shared" si="6"/>
        <v>6500000</v>
      </c>
      <c r="W9" s="306">
        <f t="shared" si="0"/>
        <v>500000</v>
      </c>
      <c r="X9" s="223">
        <f t="shared" ref="X9:X21" si="33">(J9/26)*$O9</f>
        <v>1000000</v>
      </c>
      <c r="Y9" s="223">
        <f t="shared" si="7"/>
        <v>500000</v>
      </c>
      <c r="Z9" s="223">
        <f t="shared" si="32"/>
        <v>300000</v>
      </c>
      <c r="AA9" s="223">
        <f t="shared" si="8"/>
        <v>400000</v>
      </c>
      <c r="AB9" s="223">
        <f>VLOOKUP($B9,'Bảng thông tin'!$B:$R,15,0)+VLOOKUP(B9,'Bảng thông tin'!$B:$Q,16,0)</f>
        <v>0</v>
      </c>
      <c r="AC9" s="223">
        <f t="shared" si="9"/>
        <v>11048438</v>
      </c>
      <c r="AD9" s="223">
        <f t="shared" si="10"/>
        <v>1000000</v>
      </c>
      <c r="AE9" s="223">
        <f t="shared" si="11"/>
        <v>300000</v>
      </c>
      <c r="AF9" s="223">
        <f t="shared" si="12"/>
        <v>400000</v>
      </c>
      <c r="AG9" s="223">
        <f t="shared" si="13"/>
        <v>1848438</v>
      </c>
      <c r="AH9" s="223">
        <f t="shared" si="14"/>
        <v>3548438</v>
      </c>
      <c r="AI9" s="223">
        <f t="shared" si="15"/>
        <v>1190000</v>
      </c>
      <c r="AJ9" s="223">
        <f t="shared" si="16"/>
        <v>210000</v>
      </c>
      <c r="AK9" s="223">
        <f t="shared" si="17"/>
        <v>70000</v>
      </c>
      <c r="AL9" s="223">
        <f t="shared" si="18"/>
        <v>35000</v>
      </c>
      <c r="AM9" s="185">
        <f t="shared" si="19"/>
        <v>1505000</v>
      </c>
      <c r="AN9" s="223">
        <f t="shared" si="1"/>
        <v>140000</v>
      </c>
      <c r="AO9" s="223">
        <f t="shared" si="20"/>
        <v>560000</v>
      </c>
      <c r="AP9" s="223">
        <f t="shared" si="21"/>
        <v>105000</v>
      </c>
      <c r="AQ9" s="223">
        <f t="shared" si="22"/>
        <v>70000</v>
      </c>
      <c r="AR9" s="185">
        <f t="shared" si="23"/>
        <v>735000</v>
      </c>
      <c r="AS9" s="223">
        <f t="shared" si="24"/>
        <v>0</v>
      </c>
      <c r="AT9" s="223">
        <f t="shared" si="25"/>
        <v>15500000</v>
      </c>
      <c r="AU9" s="223"/>
      <c r="AV9" s="223">
        <f t="shared" si="26"/>
        <v>0</v>
      </c>
      <c r="AW9" s="223">
        <f t="shared" si="27"/>
        <v>15500000</v>
      </c>
      <c r="AX9" s="223">
        <f t="shared" si="28"/>
        <v>7500000</v>
      </c>
      <c r="AY9" s="223">
        <f t="shared" si="29"/>
        <v>0</v>
      </c>
      <c r="AZ9" s="223">
        <f t="shared" si="2"/>
        <v>0</v>
      </c>
      <c r="BA9" s="223">
        <f>+VLOOKUP($B9,'Bảng thông tin'!$B:$R,16,0)</f>
        <v>0</v>
      </c>
      <c r="BB9" s="328">
        <f t="shared" si="30"/>
        <v>10313438</v>
      </c>
    </row>
    <row r="10" spans="1:54" s="224" customFormat="1" ht="20.25" customHeight="1" x14ac:dyDescent="0.25">
      <c r="A10" s="219">
        <v>7</v>
      </c>
      <c r="B10" s="259" t="s">
        <v>184</v>
      </c>
      <c r="C10" s="258" t="str">
        <f>+VLOOKUP($B10,'Bảng thông tin'!$B$4:$R$1002,2,0)</f>
        <v>Lê Thị Hiếu</v>
      </c>
      <c r="D10" s="219" t="str">
        <f>+VLOOKUP($B10,'Bảng thông tin'!$B$4:$R$1002,3,0)</f>
        <v>HĐLĐ</v>
      </c>
      <c r="E10" s="225" t="s">
        <v>54</v>
      </c>
      <c r="F10" s="226" t="s">
        <v>52</v>
      </c>
      <c r="G10" s="221">
        <f>+VLOOKUP($B10,'Bảng thông tin'!$B$4:$R$1002,7,0)</f>
        <v>7000000</v>
      </c>
      <c r="H10" s="221">
        <f>+VLOOKUP($B10,'Bảng thông tin'!$B$4:$R$1002,8,0)</f>
        <v>6500000</v>
      </c>
      <c r="I10" s="221">
        <f>+VLOOKUP($B10,'Bảng thông tin'!$B$4:$R$1002,9,0)</f>
        <v>500000</v>
      </c>
      <c r="J10" s="221">
        <f>+VLOOKUP($B10,'Bảng thông tin'!$B$4:$R$1002,10,0)</f>
        <v>1000000</v>
      </c>
      <c r="K10" s="221">
        <f>+VLOOKUP($B10,'Bảng thông tin'!$B$4:$R$1002,11,0)</f>
        <v>500000</v>
      </c>
      <c r="L10" s="221">
        <f>+VLOOKUP($B10,'Bảng thông tin'!$B$4:$R$1002,12,0)</f>
        <v>300000</v>
      </c>
      <c r="M10" s="230">
        <f>+VLOOKUP($B10,'Bảng thông tin'!$B$4:$R$1002,13,0)</f>
        <v>400000</v>
      </c>
      <c r="N10" s="221">
        <f>+VLOOKUP($B10,'Bảng thông tin'!$B$4:$R$1002,14,0)</f>
        <v>9200000</v>
      </c>
      <c r="O10" s="222">
        <f>VLOOKUP($B10,BCC!$B$11:$AN$1032,35,0)</f>
        <v>26</v>
      </c>
      <c r="P10" s="222">
        <f>VLOOKUP($B10,BCC!$B$11:$AN$1032,38,0)+VLOOKUP($B10,BCC!$B$11:$AN$1032,39,0)</f>
        <v>0</v>
      </c>
      <c r="Q10" s="223">
        <f t="shared" si="3"/>
        <v>0</v>
      </c>
      <c r="R10" s="222">
        <f>VLOOKUP($B10,BCC!$B$11:$AN$1032,36,0)</f>
        <v>8.25</v>
      </c>
      <c r="S10" s="223">
        <f t="shared" si="4"/>
        <v>416466</v>
      </c>
      <c r="T10" s="222">
        <f>VLOOKUP($B10,BCC!$B$11:$AN$1032,37,0)</f>
        <v>16.579999999999998</v>
      </c>
      <c r="U10" s="223">
        <f t="shared" si="5"/>
        <v>1115962</v>
      </c>
      <c r="V10" s="306">
        <f t="shared" si="6"/>
        <v>6500000</v>
      </c>
      <c r="W10" s="306">
        <f t="shared" si="0"/>
        <v>500000</v>
      </c>
      <c r="X10" s="223">
        <f t="shared" si="33"/>
        <v>1000000</v>
      </c>
      <c r="Y10" s="223">
        <f>(K10/26)*$O10</f>
        <v>500000</v>
      </c>
      <c r="Z10" s="223">
        <f t="shared" si="32"/>
        <v>300000</v>
      </c>
      <c r="AA10" s="223">
        <f t="shared" si="8"/>
        <v>400000</v>
      </c>
      <c r="AB10" s="223">
        <f>VLOOKUP($B10,'Bảng thông tin'!$B:$R,15,0)+VLOOKUP(B10,'Bảng thông tin'!$B:$Q,16,0)</f>
        <v>0</v>
      </c>
      <c r="AC10" s="223">
        <f t="shared" si="9"/>
        <v>10732428</v>
      </c>
      <c r="AD10" s="223">
        <f t="shared" si="10"/>
        <v>1000000</v>
      </c>
      <c r="AE10" s="223">
        <f t="shared" si="11"/>
        <v>300000</v>
      </c>
      <c r="AF10" s="223">
        <f t="shared" si="12"/>
        <v>400000</v>
      </c>
      <c r="AG10" s="223">
        <f t="shared" si="13"/>
        <v>1532428</v>
      </c>
      <c r="AH10" s="223">
        <f t="shared" si="14"/>
        <v>3232428</v>
      </c>
      <c r="AI10" s="223">
        <f t="shared" si="15"/>
        <v>1190000</v>
      </c>
      <c r="AJ10" s="223">
        <f t="shared" si="16"/>
        <v>210000</v>
      </c>
      <c r="AK10" s="223">
        <f t="shared" si="17"/>
        <v>70000</v>
      </c>
      <c r="AL10" s="223">
        <f t="shared" si="18"/>
        <v>35000</v>
      </c>
      <c r="AM10" s="185">
        <f t="shared" si="19"/>
        <v>1505000</v>
      </c>
      <c r="AN10" s="223">
        <f t="shared" si="1"/>
        <v>140000</v>
      </c>
      <c r="AO10" s="223">
        <f t="shared" si="20"/>
        <v>560000</v>
      </c>
      <c r="AP10" s="223">
        <f t="shared" si="21"/>
        <v>105000</v>
      </c>
      <c r="AQ10" s="223">
        <f t="shared" si="22"/>
        <v>70000</v>
      </c>
      <c r="AR10" s="185">
        <f t="shared" si="23"/>
        <v>735000</v>
      </c>
      <c r="AS10" s="223">
        <f t="shared" si="24"/>
        <v>0</v>
      </c>
      <c r="AT10" s="223">
        <f t="shared" si="25"/>
        <v>15500000</v>
      </c>
      <c r="AU10" s="223"/>
      <c r="AV10" s="223">
        <f t="shared" si="26"/>
        <v>0</v>
      </c>
      <c r="AW10" s="223">
        <f t="shared" si="27"/>
        <v>15500000</v>
      </c>
      <c r="AX10" s="223">
        <f t="shared" si="28"/>
        <v>7500000</v>
      </c>
      <c r="AY10" s="223">
        <f t="shared" si="29"/>
        <v>0</v>
      </c>
      <c r="AZ10" s="223">
        <f t="shared" si="2"/>
        <v>0</v>
      </c>
      <c r="BA10" s="223">
        <f>+VLOOKUP($B10,'Bảng thông tin'!$B:$R,16,0)</f>
        <v>0</v>
      </c>
      <c r="BB10" s="328">
        <f t="shared" si="30"/>
        <v>9997428</v>
      </c>
    </row>
    <row r="11" spans="1:54" s="228" customFormat="1" ht="20.25" customHeight="1" x14ac:dyDescent="0.25">
      <c r="A11" s="219">
        <v>8</v>
      </c>
      <c r="B11" s="229" t="s">
        <v>218</v>
      </c>
      <c r="C11" s="258" t="str">
        <f>+VLOOKUP($B11,'Bảng thông tin'!$B$4:$R$1002,2,0)</f>
        <v>Vương Thị Ngọc Như</v>
      </c>
      <c r="D11" s="219" t="str">
        <f>+VLOOKUP($B11,'Bảng thông tin'!$B$4:$R$1002,3,0)</f>
        <v>HĐLĐ</v>
      </c>
      <c r="E11" s="227" t="s">
        <v>227</v>
      </c>
      <c r="F11" s="226" t="s">
        <v>52</v>
      </c>
      <c r="G11" s="221">
        <f>+VLOOKUP($B11,'Bảng thông tin'!$B$4:$R$1002,7,0)</f>
        <v>6000000</v>
      </c>
      <c r="H11" s="221">
        <f>+VLOOKUP($B11,'Bảng thông tin'!$B$4:$R$1002,8,0)</f>
        <v>5500000</v>
      </c>
      <c r="I11" s="221">
        <f>+VLOOKUP($B11,'Bảng thông tin'!$B$4:$R$1002,9,0)</f>
        <v>500000</v>
      </c>
      <c r="J11" s="221">
        <f>+VLOOKUP($B11,'Bảng thông tin'!$B$4:$R$1002,10,0)</f>
        <v>1000000</v>
      </c>
      <c r="K11" s="221">
        <f>+VLOOKUP($B11,'Bảng thông tin'!$B$4:$R$1002,11,0)</f>
        <v>0</v>
      </c>
      <c r="L11" s="221">
        <f>+VLOOKUP($B11,'Bảng thông tin'!$B$4:$R$1002,12,0)</f>
        <v>200000</v>
      </c>
      <c r="M11" s="230">
        <f>+VLOOKUP($B11,'Bảng thông tin'!$B$4:$R$1002,13,0)</f>
        <v>300000</v>
      </c>
      <c r="N11" s="221">
        <f>+VLOOKUP($B11,'Bảng thông tin'!$B$4:$R$1002,14,0)</f>
        <v>7500000</v>
      </c>
      <c r="O11" s="222">
        <f>VLOOKUP($B11,BCC!$B$11:$AN$1032,35,0)</f>
        <v>26</v>
      </c>
      <c r="P11" s="222">
        <f>VLOOKUP($B11,BCC!$B$11:$AN$1032,38,0)+VLOOKUP($B11,BCC!$B$11:$AN$1032,39,0)</f>
        <v>2</v>
      </c>
      <c r="Q11" s="223">
        <f t="shared" si="3"/>
        <v>461538.46153846156</v>
      </c>
      <c r="R11" s="222">
        <f>VLOOKUP($B11,BCC!$B$11:$AN$1032,36,0)</f>
        <v>38.83</v>
      </c>
      <c r="S11" s="223">
        <f t="shared" si="4"/>
        <v>1680144</v>
      </c>
      <c r="T11" s="222">
        <f>VLOOKUP($B11,BCC!$B$11:$AN$1032,37,0)</f>
        <v>0</v>
      </c>
      <c r="U11" s="223">
        <f t="shared" si="5"/>
        <v>0</v>
      </c>
      <c r="V11" s="306">
        <f t="shared" si="6"/>
        <v>5500000</v>
      </c>
      <c r="W11" s="306">
        <f t="shared" si="0"/>
        <v>500000</v>
      </c>
      <c r="X11" s="223">
        <f t="shared" si="33"/>
        <v>1000000</v>
      </c>
      <c r="Y11" s="223">
        <f t="shared" si="7"/>
        <v>0</v>
      </c>
      <c r="Z11" s="223">
        <f t="shared" si="32"/>
        <v>200000</v>
      </c>
      <c r="AA11" s="223">
        <f t="shared" si="8"/>
        <v>300000</v>
      </c>
      <c r="AB11" s="223">
        <f>VLOOKUP($B11,'Bảng thông tin'!$B:$R,15,0)+VLOOKUP(B11,'Bảng thông tin'!$B:$Q,16,0)</f>
        <v>0</v>
      </c>
      <c r="AC11" s="223">
        <f t="shared" si="9"/>
        <v>9641682.461538462</v>
      </c>
      <c r="AD11" s="223">
        <f t="shared" si="10"/>
        <v>1000000</v>
      </c>
      <c r="AE11" s="223">
        <f t="shared" si="11"/>
        <v>200000</v>
      </c>
      <c r="AF11" s="223">
        <f t="shared" si="12"/>
        <v>300000</v>
      </c>
      <c r="AG11" s="223">
        <f t="shared" si="13"/>
        <v>1680144</v>
      </c>
      <c r="AH11" s="223">
        <f t="shared" si="14"/>
        <v>3180144</v>
      </c>
      <c r="AI11" s="223">
        <f>IFERROR(IF($O11&lt;14,0,$G11*17%),0)</f>
        <v>1020000.0000000001</v>
      </c>
      <c r="AJ11" s="223">
        <f t="shared" si="16"/>
        <v>180000</v>
      </c>
      <c r="AK11" s="223">
        <f t="shared" si="17"/>
        <v>60000</v>
      </c>
      <c r="AL11" s="223">
        <f t="shared" si="18"/>
        <v>30000</v>
      </c>
      <c r="AM11" s="185">
        <f t="shared" si="19"/>
        <v>1290000</v>
      </c>
      <c r="AN11" s="223">
        <f t="shared" si="1"/>
        <v>120000</v>
      </c>
      <c r="AO11" s="223">
        <f t="shared" si="20"/>
        <v>480000</v>
      </c>
      <c r="AP11" s="223">
        <f t="shared" si="21"/>
        <v>90000</v>
      </c>
      <c r="AQ11" s="223">
        <f t="shared" si="22"/>
        <v>60000</v>
      </c>
      <c r="AR11" s="185">
        <f t="shared" si="23"/>
        <v>630000</v>
      </c>
      <c r="AS11" s="223">
        <f t="shared" si="24"/>
        <v>0</v>
      </c>
      <c r="AT11" s="223">
        <f t="shared" si="25"/>
        <v>15500000</v>
      </c>
      <c r="AU11" s="223"/>
      <c r="AV11" s="223">
        <f t="shared" si="26"/>
        <v>0</v>
      </c>
      <c r="AW11" s="223">
        <f t="shared" si="27"/>
        <v>15500000</v>
      </c>
      <c r="AX11" s="223">
        <f t="shared" si="28"/>
        <v>6461538</v>
      </c>
      <c r="AY11" s="223">
        <f t="shared" si="29"/>
        <v>0</v>
      </c>
      <c r="AZ11" s="223">
        <f t="shared" si="2"/>
        <v>0</v>
      </c>
      <c r="BA11" s="223">
        <f>+VLOOKUP($B11,'Bảng thông tin'!$B:$R,16,0)</f>
        <v>0</v>
      </c>
      <c r="BB11" s="328">
        <f>ROUND(AC11-AZ11-AR11-AS11-BA11,0)</f>
        <v>9011682</v>
      </c>
    </row>
    <row r="12" spans="1:54" s="224" customFormat="1" ht="20.25" customHeight="1" x14ac:dyDescent="0.25">
      <c r="A12" s="219">
        <v>9</v>
      </c>
      <c r="B12" s="260" t="s">
        <v>19</v>
      </c>
      <c r="C12" s="258" t="str">
        <f>+VLOOKUP($B12,'Bảng thông tin'!$B$4:$R$1002,2,0)</f>
        <v>Nguyễn Thị Châu Loan</v>
      </c>
      <c r="D12" s="219" t="str">
        <f>+VLOOKUP($B12,'Bảng thông tin'!$B$4:$R$1002,3,0)</f>
        <v>HĐLĐ</v>
      </c>
      <c r="E12" s="225" t="s">
        <v>51</v>
      </c>
      <c r="F12" s="226" t="s">
        <v>55</v>
      </c>
      <c r="G12" s="221">
        <f>+VLOOKUP($B12,'Bảng thông tin'!$B$4:$R$1002,7,0)</f>
        <v>8500000</v>
      </c>
      <c r="H12" s="221">
        <f>+VLOOKUP($B12,'Bảng thông tin'!$B$4:$R$1002,8,0)</f>
        <v>7500000</v>
      </c>
      <c r="I12" s="221">
        <f>+VLOOKUP($B12,'Bảng thông tin'!$B$4:$R$1002,9,0)</f>
        <v>1000000</v>
      </c>
      <c r="J12" s="221">
        <f>+VLOOKUP($B12,'Bảng thông tin'!$B$4:$R$1002,10,0)</f>
        <v>1800000</v>
      </c>
      <c r="K12" s="221">
        <f>+VLOOKUP($B12,'Bảng thông tin'!$B$4:$R$1002,11,0)</f>
        <v>500000</v>
      </c>
      <c r="L12" s="221">
        <f>+VLOOKUP($B12,'Bảng thông tin'!$B$4:$R$1002,12,0)</f>
        <v>400000</v>
      </c>
      <c r="M12" s="230">
        <f>+VLOOKUP($B12,'Bảng thông tin'!$B$4:$R$1002,13,0)</f>
        <v>400000</v>
      </c>
      <c r="N12" s="221">
        <f>+VLOOKUP($B12,'Bảng thông tin'!$B$4:$R$1002,14,0)</f>
        <v>11600000</v>
      </c>
      <c r="O12" s="222">
        <f>VLOOKUP($B12,BCC!$B$11:$AN$1032,35,0)</f>
        <v>24</v>
      </c>
      <c r="P12" s="222">
        <f>VLOOKUP($B12,BCC!$B$11:$AN$1032,38,0)+VLOOKUP($B12,BCC!$B$11:$AN$1032,39,0)</f>
        <v>2</v>
      </c>
      <c r="Q12" s="223">
        <f t="shared" si="3"/>
        <v>653846.15384615387</v>
      </c>
      <c r="R12" s="222">
        <f>VLOOKUP($B12,BCC!$B$11:$AN$1032,36,0)</f>
        <v>0</v>
      </c>
      <c r="S12" s="223">
        <f t="shared" si="4"/>
        <v>0</v>
      </c>
      <c r="T12" s="222">
        <f>VLOOKUP($B12,BCC!$B$11:$AN$1032,37,0)</f>
        <v>0</v>
      </c>
      <c r="U12" s="223">
        <f t="shared" si="5"/>
        <v>0</v>
      </c>
      <c r="V12" s="306">
        <f t="shared" si="6"/>
        <v>6923076.9230769221</v>
      </c>
      <c r="W12" s="306">
        <f t="shared" si="0"/>
        <v>923076.92307692301</v>
      </c>
      <c r="X12" s="223">
        <f t="shared" si="33"/>
        <v>1661538.4615384615</v>
      </c>
      <c r="Y12" s="223">
        <f t="shared" si="7"/>
        <v>461538.4615384615</v>
      </c>
      <c r="Z12" s="223">
        <f t="shared" si="32"/>
        <v>369230.76923076925</v>
      </c>
      <c r="AA12" s="223">
        <f t="shared" si="8"/>
        <v>400000</v>
      </c>
      <c r="AB12" s="223">
        <f>VLOOKUP($B12,'Bảng thông tin'!$B:$R,15,0)+VLOOKUP(B12,'Bảng thông tin'!$B:$Q,16,0)</f>
        <v>0</v>
      </c>
      <c r="AC12" s="223">
        <f t="shared" si="9"/>
        <v>11392307.692307692</v>
      </c>
      <c r="AD12" s="223">
        <f t="shared" si="10"/>
        <v>1661538.4615384615</v>
      </c>
      <c r="AE12" s="223">
        <f t="shared" si="11"/>
        <v>369230.76923076925</v>
      </c>
      <c r="AF12" s="223">
        <f t="shared" si="12"/>
        <v>400000</v>
      </c>
      <c r="AG12" s="223">
        <f t="shared" si="13"/>
        <v>0</v>
      </c>
      <c r="AH12" s="223">
        <f t="shared" si="14"/>
        <v>2430769.230769231</v>
      </c>
      <c r="AI12" s="223">
        <f t="shared" si="15"/>
        <v>1445000</v>
      </c>
      <c r="AJ12" s="223">
        <f t="shared" si="16"/>
        <v>255000</v>
      </c>
      <c r="AK12" s="223">
        <f t="shared" si="17"/>
        <v>85000</v>
      </c>
      <c r="AL12" s="223">
        <f t="shared" si="18"/>
        <v>42500</v>
      </c>
      <c r="AM12" s="185">
        <f t="shared" si="19"/>
        <v>1827500</v>
      </c>
      <c r="AN12" s="223">
        <f t="shared" si="1"/>
        <v>170000</v>
      </c>
      <c r="AO12" s="223">
        <f t="shared" si="20"/>
        <v>680000</v>
      </c>
      <c r="AP12" s="223">
        <f t="shared" si="21"/>
        <v>127500</v>
      </c>
      <c r="AQ12" s="223">
        <f t="shared" si="22"/>
        <v>85000</v>
      </c>
      <c r="AR12" s="185">
        <f t="shared" si="23"/>
        <v>892500</v>
      </c>
      <c r="AS12" s="223">
        <f t="shared" si="24"/>
        <v>0</v>
      </c>
      <c r="AT12" s="223">
        <f t="shared" si="25"/>
        <v>15500000</v>
      </c>
      <c r="AU12" s="223"/>
      <c r="AV12" s="223">
        <f t="shared" si="26"/>
        <v>0</v>
      </c>
      <c r="AW12" s="223">
        <f t="shared" si="27"/>
        <v>15500000</v>
      </c>
      <c r="AX12" s="223">
        <f t="shared" si="28"/>
        <v>8961538</v>
      </c>
      <c r="AY12" s="223">
        <f t="shared" si="29"/>
        <v>0</v>
      </c>
      <c r="AZ12" s="223">
        <f t="shared" si="2"/>
        <v>0</v>
      </c>
      <c r="BA12" s="223">
        <f>+VLOOKUP($B12,'Bảng thông tin'!$B:$R,16,0)</f>
        <v>0</v>
      </c>
      <c r="BB12" s="328">
        <f t="shared" si="30"/>
        <v>10499808</v>
      </c>
    </row>
    <row r="13" spans="1:54" s="224" customFormat="1" ht="20.25" customHeight="1" x14ac:dyDescent="0.25">
      <c r="A13" s="219">
        <v>10</v>
      </c>
      <c r="B13" s="260" t="s">
        <v>21</v>
      </c>
      <c r="C13" s="258" t="str">
        <f>+VLOOKUP($B13,'Bảng thông tin'!$B$4:$R$1002,2,0)</f>
        <v>Nguyễn Văn Thái</v>
      </c>
      <c r="D13" s="219" t="str">
        <f>+VLOOKUP($B13,'Bảng thông tin'!$B$4:$R$1002,3,0)</f>
        <v>HĐLĐ</v>
      </c>
      <c r="E13" s="225" t="s">
        <v>53</v>
      </c>
      <c r="F13" s="226" t="s">
        <v>55</v>
      </c>
      <c r="G13" s="221">
        <f>+VLOOKUP($B13,'Bảng thông tin'!$B$4:$R$1002,7,0)</f>
        <v>8000000</v>
      </c>
      <c r="H13" s="221">
        <f>+VLOOKUP($B13,'Bảng thông tin'!$B$4:$R$1002,8,0)</f>
        <v>7000000</v>
      </c>
      <c r="I13" s="221">
        <f>+VLOOKUP($B13,'Bảng thông tin'!$B$4:$R$1002,9,0)</f>
        <v>1000000</v>
      </c>
      <c r="J13" s="221">
        <f>+VLOOKUP($B13,'Bảng thông tin'!$B$4:$R$1002,10,0)</f>
        <v>1300000</v>
      </c>
      <c r="K13" s="221">
        <f>+VLOOKUP($B13,'Bảng thông tin'!$B$4:$R$1002,11,0)</f>
        <v>500000</v>
      </c>
      <c r="L13" s="221">
        <f>+VLOOKUP($B13,'Bảng thông tin'!$B$4:$R$1002,12,0)</f>
        <v>400000</v>
      </c>
      <c r="M13" s="230">
        <f>+VLOOKUP($B13,'Bảng thông tin'!$B$4:$R$1002,13,0)</f>
        <v>400000</v>
      </c>
      <c r="N13" s="221">
        <f>+VLOOKUP($B13,'Bảng thông tin'!$B$4:$R$1002,14,0)</f>
        <v>10600000</v>
      </c>
      <c r="O13" s="222">
        <f>VLOOKUP($B13,BCC!$B$11:$AN$1032,35,0)</f>
        <v>24</v>
      </c>
      <c r="P13" s="222">
        <f>VLOOKUP($B13,BCC!$B$11:$AN$1032,38,0)+VLOOKUP($B13,BCC!$B$11:$AN$1032,39,0)</f>
        <v>2</v>
      </c>
      <c r="Q13" s="223">
        <f t="shared" si="3"/>
        <v>615384.61538461538</v>
      </c>
      <c r="R13" s="222">
        <f>VLOOKUP($B13,BCC!$B$11:$AN$1032,36,0)</f>
        <v>0</v>
      </c>
      <c r="S13" s="223">
        <f t="shared" si="4"/>
        <v>0</v>
      </c>
      <c r="T13" s="222">
        <f>VLOOKUP($B13,BCC!$B$11:$AN$1032,37,0)</f>
        <v>8</v>
      </c>
      <c r="U13" s="223">
        <f t="shared" si="5"/>
        <v>615385</v>
      </c>
      <c r="V13" s="306">
        <f t="shared" si="6"/>
        <v>6461538.461538462</v>
      </c>
      <c r="W13" s="306">
        <f t="shared" si="0"/>
        <v>923076.92307692301</v>
      </c>
      <c r="X13" s="223">
        <f t="shared" si="33"/>
        <v>1200000</v>
      </c>
      <c r="Y13" s="223">
        <f>(K13/26)*$O13</f>
        <v>461538.4615384615</v>
      </c>
      <c r="Z13" s="223">
        <f t="shared" si="32"/>
        <v>369230.76923076925</v>
      </c>
      <c r="AA13" s="223">
        <f t="shared" si="8"/>
        <v>400000</v>
      </c>
      <c r="AB13" s="223">
        <f>VLOOKUP($B13,'Bảng thông tin'!$B:$R,15,0)+VLOOKUP(B13,'Bảng thông tin'!$B:$Q,16,0)</f>
        <v>0</v>
      </c>
      <c r="AC13" s="223">
        <f t="shared" si="9"/>
        <v>11046154.230769232</v>
      </c>
      <c r="AD13" s="223">
        <f t="shared" si="10"/>
        <v>1200000</v>
      </c>
      <c r="AE13" s="223">
        <f t="shared" si="11"/>
        <v>369230.76923076925</v>
      </c>
      <c r="AF13" s="223">
        <f t="shared" si="12"/>
        <v>400000</v>
      </c>
      <c r="AG13" s="223">
        <f t="shared" si="13"/>
        <v>615385</v>
      </c>
      <c r="AH13" s="223">
        <f>+SUM(AD13:AG13)</f>
        <v>2584615.769230769</v>
      </c>
      <c r="AI13" s="223">
        <f t="shared" si="15"/>
        <v>1360000</v>
      </c>
      <c r="AJ13" s="223">
        <f t="shared" si="16"/>
        <v>240000</v>
      </c>
      <c r="AK13" s="223">
        <f t="shared" si="17"/>
        <v>80000</v>
      </c>
      <c r="AL13" s="223">
        <f t="shared" si="18"/>
        <v>40000</v>
      </c>
      <c r="AM13" s="185">
        <f t="shared" si="19"/>
        <v>1720000</v>
      </c>
      <c r="AN13" s="223">
        <f t="shared" si="1"/>
        <v>160000</v>
      </c>
      <c r="AO13" s="223">
        <f t="shared" si="20"/>
        <v>640000</v>
      </c>
      <c r="AP13" s="223">
        <f t="shared" si="21"/>
        <v>120000</v>
      </c>
      <c r="AQ13" s="223">
        <f t="shared" si="22"/>
        <v>80000</v>
      </c>
      <c r="AR13" s="185">
        <f t="shared" si="23"/>
        <v>840000</v>
      </c>
      <c r="AS13" s="223">
        <f t="shared" si="24"/>
        <v>0</v>
      </c>
      <c r="AT13" s="223">
        <f t="shared" si="25"/>
        <v>15500000</v>
      </c>
      <c r="AU13" s="223"/>
      <c r="AV13" s="223">
        <f t="shared" si="26"/>
        <v>0</v>
      </c>
      <c r="AW13" s="223">
        <f t="shared" si="27"/>
        <v>15500000</v>
      </c>
      <c r="AX13" s="223">
        <f t="shared" si="28"/>
        <v>8461538</v>
      </c>
      <c r="AY13" s="223">
        <f t="shared" si="29"/>
        <v>0</v>
      </c>
      <c r="AZ13" s="223">
        <f t="shared" si="2"/>
        <v>0</v>
      </c>
      <c r="BA13" s="223">
        <f>+VLOOKUP($B13,'Bảng thông tin'!$B:$R,16,0)</f>
        <v>0</v>
      </c>
      <c r="BB13" s="328">
        <f t="shared" si="30"/>
        <v>10206154</v>
      </c>
    </row>
    <row r="14" spans="1:54" s="224" customFormat="1" ht="20.25" customHeight="1" x14ac:dyDescent="0.25">
      <c r="A14" s="219">
        <v>11</v>
      </c>
      <c r="B14" s="259" t="s">
        <v>23</v>
      </c>
      <c r="C14" s="258" t="str">
        <f>+VLOOKUP($B14,'Bảng thông tin'!$B$4:$R$1002,2,0)</f>
        <v>Lê Hữu Thọ</v>
      </c>
      <c r="D14" s="219" t="str">
        <f>+VLOOKUP($B14,'Bảng thông tin'!$B$4:$R$1002,3,0)</f>
        <v>HĐLĐ</v>
      </c>
      <c r="E14" s="225" t="s">
        <v>155</v>
      </c>
      <c r="F14" s="226" t="s">
        <v>55</v>
      </c>
      <c r="G14" s="221">
        <f>+VLOOKUP($B14,'Bảng thông tin'!$B$4:$R$1002,7,0)</f>
        <v>8000000</v>
      </c>
      <c r="H14" s="221">
        <f>+VLOOKUP($B14,'Bảng thông tin'!$B$4:$R$1002,8,0)</f>
        <v>7000000</v>
      </c>
      <c r="I14" s="221">
        <f>+VLOOKUP($B14,'Bảng thông tin'!$B$4:$R$1002,9,0)</f>
        <v>1000000</v>
      </c>
      <c r="J14" s="221">
        <f>+VLOOKUP($B14,'Bảng thông tin'!$B$4:$R$1002,10,0)</f>
        <v>1300000</v>
      </c>
      <c r="K14" s="221">
        <f>+VLOOKUP($B14,'Bảng thông tin'!$B$4:$R$1002,11,0)</f>
        <v>500000</v>
      </c>
      <c r="L14" s="221">
        <f>+VLOOKUP($B14,'Bảng thông tin'!$B$4:$R$1002,12,0)</f>
        <v>400000</v>
      </c>
      <c r="M14" s="230">
        <f>+VLOOKUP($B14,'Bảng thông tin'!$B$4:$R$1002,13,0)</f>
        <v>400000</v>
      </c>
      <c r="N14" s="221">
        <f>+VLOOKUP($B14,'Bảng thông tin'!$B$4:$R$1002,14,0)</f>
        <v>10600000</v>
      </c>
      <c r="O14" s="222">
        <f>VLOOKUP($B14,BCC!$B$11:$AN$1032,35,0)</f>
        <v>26</v>
      </c>
      <c r="P14" s="222">
        <f>VLOOKUP($B14,BCC!$B$11:$AN$1032,38,0)+VLOOKUP($B14,BCC!$B$11:$AN$1032,39,0)</f>
        <v>0</v>
      </c>
      <c r="Q14" s="223">
        <f t="shared" si="3"/>
        <v>0</v>
      </c>
      <c r="R14" s="222">
        <f>VLOOKUP($B14,BCC!$B$11:$AN$1032,36,0)</f>
        <v>0</v>
      </c>
      <c r="S14" s="223">
        <f t="shared" si="4"/>
        <v>0</v>
      </c>
      <c r="T14" s="222">
        <f>VLOOKUP($B14,BCC!$B$11:$AN$1032,37,0)</f>
        <v>8</v>
      </c>
      <c r="U14" s="223">
        <f t="shared" si="5"/>
        <v>615385</v>
      </c>
      <c r="V14" s="306">
        <f t="shared" si="6"/>
        <v>7000000</v>
      </c>
      <c r="W14" s="306">
        <f t="shared" si="0"/>
        <v>1000000</v>
      </c>
      <c r="X14" s="223">
        <f t="shared" si="33"/>
        <v>1300000</v>
      </c>
      <c r="Y14" s="223">
        <f t="shared" si="7"/>
        <v>500000</v>
      </c>
      <c r="Z14" s="223">
        <f t="shared" si="32"/>
        <v>400000</v>
      </c>
      <c r="AA14" s="223">
        <f t="shared" si="8"/>
        <v>400000</v>
      </c>
      <c r="AB14" s="223">
        <f>VLOOKUP($B14,'Bảng thông tin'!$B:$R,15,0)+VLOOKUP(B14,'Bảng thông tin'!$B:$Q,16,0)</f>
        <v>0</v>
      </c>
      <c r="AC14" s="223">
        <f t="shared" si="9"/>
        <v>11215385</v>
      </c>
      <c r="AD14" s="223">
        <f t="shared" si="10"/>
        <v>1300000</v>
      </c>
      <c r="AE14" s="223">
        <f t="shared" si="11"/>
        <v>400000</v>
      </c>
      <c r="AF14" s="223">
        <f t="shared" si="12"/>
        <v>400000</v>
      </c>
      <c r="AG14" s="223">
        <f t="shared" si="13"/>
        <v>615385</v>
      </c>
      <c r="AH14" s="223">
        <f t="shared" si="14"/>
        <v>2715385</v>
      </c>
      <c r="AI14" s="223">
        <f t="shared" si="15"/>
        <v>1360000</v>
      </c>
      <c r="AJ14" s="223">
        <f t="shared" si="16"/>
        <v>240000</v>
      </c>
      <c r="AK14" s="223">
        <f t="shared" si="17"/>
        <v>80000</v>
      </c>
      <c r="AL14" s="223">
        <f t="shared" si="18"/>
        <v>40000</v>
      </c>
      <c r="AM14" s="185">
        <f t="shared" si="19"/>
        <v>1720000</v>
      </c>
      <c r="AN14" s="223">
        <f t="shared" si="1"/>
        <v>160000</v>
      </c>
      <c r="AO14" s="223">
        <f t="shared" si="20"/>
        <v>640000</v>
      </c>
      <c r="AP14" s="223">
        <f t="shared" si="21"/>
        <v>120000</v>
      </c>
      <c r="AQ14" s="223">
        <f t="shared" si="22"/>
        <v>80000</v>
      </c>
      <c r="AR14" s="185">
        <f t="shared" si="23"/>
        <v>840000</v>
      </c>
      <c r="AS14" s="223">
        <f t="shared" si="24"/>
        <v>0</v>
      </c>
      <c r="AT14" s="223">
        <f t="shared" si="25"/>
        <v>15500000</v>
      </c>
      <c r="AU14" s="223"/>
      <c r="AV14" s="223">
        <f t="shared" si="26"/>
        <v>0</v>
      </c>
      <c r="AW14" s="223">
        <f t="shared" si="27"/>
        <v>15500000</v>
      </c>
      <c r="AX14" s="223">
        <f t="shared" si="28"/>
        <v>8500000</v>
      </c>
      <c r="AY14" s="223">
        <f t="shared" si="29"/>
        <v>0</v>
      </c>
      <c r="AZ14" s="223">
        <f t="shared" si="2"/>
        <v>0</v>
      </c>
      <c r="BA14" s="223">
        <f>+VLOOKUP($B14,'Bảng thông tin'!$B:$R,16,0)</f>
        <v>0</v>
      </c>
      <c r="BB14" s="328">
        <f t="shared" si="30"/>
        <v>10375385</v>
      </c>
    </row>
    <row r="15" spans="1:54" s="224" customFormat="1" ht="20.25" customHeight="1" x14ac:dyDescent="0.25">
      <c r="A15" s="219">
        <v>12</v>
      </c>
      <c r="B15" s="259" t="s">
        <v>25</v>
      </c>
      <c r="C15" s="258" t="str">
        <f>+VLOOKUP($B15,'Bảng thông tin'!$B$4:$R$1002,2,0)</f>
        <v>Dương Nhựt Thành</v>
      </c>
      <c r="D15" s="219" t="str">
        <f>+VLOOKUP($B15,'Bảng thông tin'!$B$4:$R$1002,3,0)</f>
        <v>HĐLĐ</v>
      </c>
      <c r="E15" s="225" t="s">
        <v>54</v>
      </c>
      <c r="F15" s="226" t="s">
        <v>55</v>
      </c>
      <c r="G15" s="221">
        <f>+VLOOKUP($B15,'Bảng thông tin'!$B$4:$R$1002,7,0)</f>
        <v>7000000</v>
      </c>
      <c r="H15" s="221">
        <f>+VLOOKUP($B15,'Bảng thông tin'!$B$4:$R$1002,8,0)</f>
        <v>6500000</v>
      </c>
      <c r="I15" s="221">
        <f>+VLOOKUP($B15,'Bảng thông tin'!$B$4:$R$1002,9,0)</f>
        <v>500000</v>
      </c>
      <c r="J15" s="221">
        <f>+VLOOKUP($B15,'Bảng thông tin'!$B$4:$R$1002,10,0)</f>
        <v>1000000</v>
      </c>
      <c r="K15" s="221">
        <f>+VLOOKUP($B15,'Bảng thông tin'!$B$4:$R$1002,11,0)</f>
        <v>1000000</v>
      </c>
      <c r="L15" s="221">
        <f>+VLOOKUP($B15,'Bảng thông tin'!$B$4:$R$1002,12,0)</f>
        <v>500000</v>
      </c>
      <c r="M15" s="230">
        <f>+VLOOKUP($B15,'Bảng thông tin'!$B$4:$R$1002,13,0)</f>
        <v>400000</v>
      </c>
      <c r="N15" s="221">
        <f>+VLOOKUP($B15,'Bảng thông tin'!$B$4:$R$1002,14,0)</f>
        <v>9900000</v>
      </c>
      <c r="O15" s="222">
        <f>VLOOKUP($B15,BCC!$B$11:$AN$1032,35,0)</f>
        <v>24</v>
      </c>
      <c r="P15" s="222">
        <f>VLOOKUP($B15,BCC!$B$11:$AN$1032,38,0)+VLOOKUP($B15,BCC!$B$11:$AN$1032,39,0)</f>
        <v>2</v>
      </c>
      <c r="Q15" s="223">
        <f t="shared" si="3"/>
        <v>538461.5384615385</v>
      </c>
      <c r="R15" s="222">
        <f>VLOOKUP($B15,BCC!$B$11:$AN$1032,36,0)</f>
        <v>0</v>
      </c>
      <c r="S15" s="223">
        <f t="shared" si="4"/>
        <v>0</v>
      </c>
      <c r="T15" s="222">
        <f>VLOOKUP($B15,BCC!$B$11:$AN$1032,37,0)</f>
        <v>0</v>
      </c>
      <c r="U15" s="223">
        <f t="shared" si="5"/>
        <v>0</v>
      </c>
      <c r="V15" s="306">
        <f t="shared" si="6"/>
        <v>6000000</v>
      </c>
      <c r="W15" s="306">
        <f t="shared" si="0"/>
        <v>461538.4615384615</v>
      </c>
      <c r="X15" s="223">
        <f t="shared" si="33"/>
        <v>923076.92307692301</v>
      </c>
      <c r="Y15" s="223">
        <f t="shared" si="7"/>
        <v>923076.92307692301</v>
      </c>
      <c r="Z15" s="223">
        <f t="shared" si="32"/>
        <v>461538.4615384615</v>
      </c>
      <c r="AA15" s="223">
        <f t="shared" si="8"/>
        <v>400000</v>
      </c>
      <c r="AB15" s="223">
        <f>VLOOKUP($B15,'Bảng thông tin'!$B:$R,15,0)+VLOOKUP(B15,'Bảng thông tin'!$B:$Q,16,0)</f>
        <v>0</v>
      </c>
      <c r="AC15" s="223">
        <f t="shared" si="9"/>
        <v>9707692.307692308</v>
      </c>
      <c r="AD15" s="223">
        <f t="shared" si="10"/>
        <v>923076.92307692301</v>
      </c>
      <c r="AE15" s="223">
        <f t="shared" si="11"/>
        <v>461538.4615384615</v>
      </c>
      <c r="AF15" s="223">
        <f t="shared" si="12"/>
        <v>400000</v>
      </c>
      <c r="AG15" s="223">
        <f t="shared" si="13"/>
        <v>0</v>
      </c>
      <c r="AH15" s="223">
        <f t="shared" si="14"/>
        <v>1784615.3846153845</v>
      </c>
      <c r="AI15" s="223">
        <f t="shared" si="15"/>
        <v>1190000</v>
      </c>
      <c r="AJ15" s="223">
        <f t="shared" si="16"/>
        <v>210000</v>
      </c>
      <c r="AK15" s="223">
        <f t="shared" si="17"/>
        <v>70000</v>
      </c>
      <c r="AL15" s="223">
        <f t="shared" si="18"/>
        <v>35000</v>
      </c>
      <c r="AM15" s="185">
        <f t="shared" si="19"/>
        <v>1505000</v>
      </c>
      <c r="AN15" s="223">
        <f t="shared" si="1"/>
        <v>140000</v>
      </c>
      <c r="AO15" s="223">
        <f t="shared" si="20"/>
        <v>560000</v>
      </c>
      <c r="AP15" s="223">
        <f t="shared" si="21"/>
        <v>105000</v>
      </c>
      <c r="AQ15" s="223">
        <f t="shared" si="22"/>
        <v>70000</v>
      </c>
      <c r="AR15" s="185">
        <f t="shared" si="23"/>
        <v>735000</v>
      </c>
      <c r="AS15" s="223">
        <f t="shared" si="24"/>
        <v>0</v>
      </c>
      <c r="AT15" s="223">
        <f t="shared" si="25"/>
        <v>15500000</v>
      </c>
      <c r="AU15" s="223"/>
      <c r="AV15" s="223">
        <f t="shared" si="26"/>
        <v>0</v>
      </c>
      <c r="AW15" s="223">
        <f t="shared" si="27"/>
        <v>15500000</v>
      </c>
      <c r="AX15" s="223">
        <f t="shared" si="28"/>
        <v>7923077</v>
      </c>
      <c r="AY15" s="223">
        <f t="shared" si="29"/>
        <v>0</v>
      </c>
      <c r="AZ15" s="223">
        <f t="shared" si="2"/>
        <v>0</v>
      </c>
      <c r="BA15" s="223">
        <f>+VLOOKUP($B15,'Bảng thông tin'!$B:$R,16,0)</f>
        <v>0</v>
      </c>
      <c r="BB15" s="328">
        <f t="shared" si="30"/>
        <v>8972692</v>
      </c>
    </row>
    <row r="16" spans="1:54" s="228" customFormat="1" ht="20.25" customHeight="1" x14ac:dyDescent="0.25">
      <c r="A16" s="219">
        <v>13</v>
      </c>
      <c r="B16" s="229" t="s">
        <v>221</v>
      </c>
      <c r="C16" s="258" t="str">
        <f>+VLOOKUP($B16,'Bảng thông tin'!$B$4:$R$1002,2,0)</f>
        <v>Tiết Trinh Nguyên</v>
      </c>
      <c r="D16" s="219" t="str">
        <f>+VLOOKUP($B16,'Bảng thông tin'!$B$4:$R$1002,3,0)</f>
        <v>HĐLĐ</v>
      </c>
      <c r="E16" s="227" t="s">
        <v>54</v>
      </c>
      <c r="F16" s="226" t="s">
        <v>55</v>
      </c>
      <c r="G16" s="221">
        <f>+VLOOKUP($B16,'Bảng thông tin'!$B$4:$R$1002,7,0)</f>
        <v>7000000</v>
      </c>
      <c r="H16" s="221">
        <f>+VLOOKUP($B16,'Bảng thông tin'!$B$4:$R$1002,8,0)</f>
        <v>6500000</v>
      </c>
      <c r="I16" s="221">
        <f>+VLOOKUP($B16,'Bảng thông tin'!$B$4:$R$1002,9,0)</f>
        <v>500000</v>
      </c>
      <c r="J16" s="221">
        <f>+VLOOKUP($B16,'Bảng thông tin'!$B$4:$R$1002,10,0)</f>
        <v>1000000</v>
      </c>
      <c r="K16" s="221">
        <f>+VLOOKUP($B16,'Bảng thông tin'!$B$4:$R$1002,11,0)</f>
        <v>500000</v>
      </c>
      <c r="L16" s="221">
        <f>+VLOOKUP($B16,'Bảng thông tin'!$B$4:$R$1002,12,0)</f>
        <v>300000</v>
      </c>
      <c r="M16" s="230">
        <f>+VLOOKUP($B16,'Bảng thông tin'!$B$4:$R$1002,13,0)</f>
        <v>400000</v>
      </c>
      <c r="N16" s="221">
        <f>+VLOOKUP($B16,'Bảng thông tin'!$B$4:$R$1002,14,0)</f>
        <v>9200000</v>
      </c>
      <c r="O16" s="222">
        <f>VLOOKUP($B16,BCC!$B$11:$AN$1032,35,0)</f>
        <v>25</v>
      </c>
      <c r="P16" s="222">
        <f>VLOOKUP($B16,BCC!$B$11:$AN$1032,38,0)+VLOOKUP($B16,BCC!$B$11:$AN$1032,39,0)</f>
        <v>1</v>
      </c>
      <c r="Q16" s="223">
        <f t="shared" si="3"/>
        <v>269230.76923076925</v>
      </c>
      <c r="R16" s="222">
        <f>VLOOKUP($B16,BCC!$B$11:$AN$1032,36,0)</f>
        <v>21.33</v>
      </c>
      <c r="S16" s="223">
        <f t="shared" si="4"/>
        <v>1076755</v>
      </c>
      <c r="T16" s="222">
        <f>VLOOKUP($B16,BCC!$B$11:$AN$1032,37,0)</f>
        <v>0</v>
      </c>
      <c r="U16" s="223">
        <f t="shared" si="5"/>
        <v>0</v>
      </c>
      <c r="V16" s="306">
        <f t="shared" si="6"/>
        <v>6250000</v>
      </c>
      <c r="W16" s="306">
        <f t="shared" si="0"/>
        <v>480769.23076923075</v>
      </c>
      <c r="X16" s="223">
        <f t="shared" si="33"/>
        <v>961538.4615384615</v>
      </c>
      <c r="Y16" s="223">
        <f t="shared" si="7"/>
        <v>480769.23076923075</v>
      </c>
      <c r="Z16" s="223">
        <f t="shared" si="32"/>
        <v>288461.5384615385</v>
      </c>
      <c r="AA16" s="223">
        <f t="shared" si="8"/>
        <v>400000</v>
      </c>
      <c r="AB16" s="223">
        <f>VLOOKUP($B16,'Bảng thông tin'!$B:$R,15,0)+VLOOKUP(B16,'Bảng thông tin'!$B:$Q,16,0)</f>
        <v>0</v>
      </c>
      <c r="AC16" s="223">
        <f t="shared" si="9"/>
        <v>10207524.230769232</v>
      </c>
      <c r="AD16" s="223">
        <f t="shared" si="10"/>
        <v>961538.4615384615</v>
      </c>
      <c r="AE16" s="223">
        <f t="shared" si="11"/>
        <v>288461.5384615385</v>
      </c>
      <c r="AF16" s="223">
        <f t="shared" si="12"/>
        <v>400000</v>
      </c>
      <c r="AG16" s="223">
        <f t="shared" si="13"/>
        <v>1076755</v>
      </c>
      <c r="AH16" s="223">
        <f t="shared" si="14"/>
        <v>2726755</v>
      </c>
      <c r="AI16" s="223">
        <f>IFERROR(IF($O16&lt;14,0,$G16*17%),0)</f>
        <v>1190000</v>
      </c>
      <c r="AJ16" s="223">
        <f t="shared" si="16"/>
        <v>210000</v>
      </c>
      <c r="AK16" s="223">
        <f t="shared" si="17"/>
        <v>70000</v>
      </c>
      <c r="AL16" s="223">
        <f t="shared" si="18"/>
        <v>35000</v>
      </c>
      <c r="AM16" s="185">
        <f t="shared" si="19"/>
        <v>1505000</v>
      </c>
      <c r="AN16" s="223">
        <f>IFERROR($G16*2%,0)</f>
        <v>140000</v>
      </c>
      <c r="AO16" s="223">
        <f t="shared" si="20"/>
        <v>560000</v>
      </c>
      <c r="AP16" s="223">
        <f t="shared" si="21"/>
        <v>105000</v>
      </c>
      <c r="AQ16" s="223">
        <f t="shared" si="22"/>
        <v>70000</v>
      </c>
      <c r="AR16" s="185">
        <f t="shared" si="23"/>
        <v>735000</v>
      </c>
      <c r="AS16" s="223">
        <f t="shared" si="24"/>
        <v>0</v>
      </c>
      <c r="AT16" s="223">
        <f t="shared" si="25"/>
        <v>15500000</v>
      </c>
      <c r="AU16" s="223"/>
      <c r="AV16" s="223">
        <f t="shared" si="26"/>
        <v>0</v>
      </c>
      <c r="AW16" s="223">
        <f t="shared" si="27"/>
        <v>15500000</v>
      </c>
      <c r="AX16" s="223">
        <f t="shared" si="28"/>
        <v>7480769</v>
      </c>
      <c r="AY16" s="223">
        <f t="shared" si="29"/>
        <v>0</v>
      </c>
      <c r="AZ16" s="223">
        <f t="shared" si="2"/>
        <v>0</v>
      </c>
      <c r="BA16" s="223">
        <f>+VLOOKUP($B16,'Bảng thông tin'!$B:$R,16,0)</f>
        <v>0</v>
      </c>
      <c r="BB16" s="328">
        <f t="shared" si="30"/>
        <v>9472524</v>
      </c>
    </row>
    <row r="17" spans="1:57" s="228" customFormat="1" ht="20.25" customHeight="1" x14ac:dyDescent="0.25">
      <c r="A17" s="219">
        <v>14</v>
      </c>
      <c r="B17" s="229" t="s">
        <v>219</v>
      </c>
      <c r="C17" s="355" t="str">
        <f>+VLOOKUP($B17,'Bảng thông tin'!$B$4:$R$1002,2,0)</f>
        <v>Nguyễn Hoàng Ngọc Châu</v>
      </c>
      <c r="D17" s="219" t="str">
        <f>+VLOOKUP($B17,'Bảng thông tin'!$B$4:$R$1002,3,0)</f>
        <v>HĐLĐ</v>
      </c>
      <c r="E17" s="227" t="s">
        <v>54</v>
      </c>
      <c r="F17" s="226" t="s">
        <v>55</v>
      </c>
      <c r="G17" s="221">
        <f>+VLOOKUP($B17,'Bảng thông tin'!$B$4:$R$1002,7,0)</f>
        <v>7500000</v>
      </c>
      <c r="H17" s="221">
        <f>+VLOOKUP($B17,'Bảng thông tin'!$B$4:$R$1002,8,0)</f>
        <v>6500000</v>
      </c>
      <c r="I17" s="221">
        <f>+VLOOKUP($B17,'Bảng thông tin'!$B$4:$R$1002,9,0)</f>
        <v>1000000</v>
      </c>
      <c r="J17" s="221">
        <f>+VLOOKUP($B17,'Bảng thông tin'!$B$4:$R$1002,10,0)</f>
        <v>1000000</v>
      </c>
      <c r="K17" s="221">
        <f>+VLOOKUP($B17,'Bảng thông tin'!$B$4:$R$1002,11,0)</f>
        <v>500000</v>
      </c>
      <c r="L17" s="221">
        <f>+VLOOKUP($B17,'Bảng thông tin'!$B$4:$R$1002,12,0)</f>
        <v>400000</v>
      </c>
      <c r="M17" s="230">
        <f>+VLOOKUP($B17,'Bảng thông tin'!$B$4:$R$1002,13,0)</f>
        <v>400000</v>
      </c>
      <c r="N17" s="221">
        <f>+VLOOKUP($B17,'Bảng thông tin'!$B$4:$R$1002,14,0)</f>
        <v>9800000</v>
      </c>
      <c r="O17" s="222">
        <f>VLOOKUP($B17,BCC!$B$11:$AN$1032,35,0)</f>
        <v>26</v>
      </c>
      <c r="P17" s="222">
        <f>VLOOKUP($B17,BCC!$B$11:$AN$1032,38,0)+VLOOKUP($B17,BCC!$B$11:$AN$1032,39,0)</f>
        <v>0</v>
      </c>
      <c r="Q17" s="223">
        <f t="shared" si="3"/>
        <v>0</v>
      </c>
      <c r="R17" s="222">
        <f>VLOOKUP($B17,BCC!$B$11:$AN$1032,36,0)</f>
        <v>10.58</v>
      </c>
      <c r="S17" s="223">
        <f t="shared" si="4"/>
        <v>572236</v>
      </c>
      <c r="T17" s="222">
        <f>VLOOKUP($B17,BCC!$B$11:$AN$1032,37,0)</f>
        <v>0</v>
      </c>
      <c r="U17" s="223">
        <f t="shared" si="5"/>
        <v>0</v>
      </c>
      <c r="V17" s="306">
        <f t="shared" ref="V17" si="34">IF($D17="HĐTV",(H17/26)*$O17*0.85,(H17/26)*$O17)</f>
        <v>6500000</v>
      </c>
      <c r="W17" s="306">
        <f t="shared" ref="W17" si="35">IF($D17="HĐTV",(I17/26)*$O17*0.85,($I17/26)*$O17)</f>
        <v>1000000</v>
      </c>
      <c r="X17" s="223">
        <f t="shared" si="33"/>
        <v>1000000</v>
      </c>
      <c r="Y17" s="223">
        <f t="shared" ref="Y17" si="36">(K17/26)*$O17</f>
        <v>500000</v>
      </c>
      <c r="Z17" s="223">
        <f t="shared" ref="Z17" si="37">(L17/26)*$O17</f>
        <v>400000</v>
      </c>
      <c r="AA17" s="223">
        <f t="shared" ref="AA17" si="38">IF($D17="HĐTV",M17/26*O17,(M17))</f>
        <v>400000</v>
      </c>
      <c r="AB17" s="223">
        <f>VLOOKUP($B17,'Bảng thông tin'!$B:$R,15,0)+VLOOKUP(B17,'Bảng thông tin'!$B:$Q,16,0)</f>
        <v>0</v>
      </c>
      <c r="AC17" s="223">
        <f t="shared" si="9"/>
        <v>10372236</v>
      </c>
      <c r="AD17" s="223">
        <f t="shared" ref="AD17" si="39">X17</f>
        <v>1000000</v>
      </c>
      <c r="AE17" s="223">
        <f t="shared" ref="AE17" si="40">IF($D17="HĐTV",0,Z17)</f>
        <v>400000</v>
      </c>
      <c r="AF17" s="223">
        <f t="shared" ref="AF17" si="41">IF($D17="HĐTV",0,IF(AA17&lt;=(5000000/12),AA17,AA17-(AA17-(5000000/12))))</f>
        <v>400000</v>
      </c>
      <c r="AG17" s="223">
        <f t="shared" si="13"/>
        <v>572236</v>
      </c>
      <c r="AH17" s="223">
        <f t="shared" ref="AH17" si="42">+SUM(AD17:AG17)</f>
        <v>2372236</v>
      </c>
      <c r="AI17" s="223">
        <f>IFERROR(IF($O17&lt;14,0,$G17*17%),0)</f>
        <v>1275000</v>
      </c>
      <c r="AJ17" s="223">
        <f t="shared" si="16"/>
        <v>225000</v>
      </c>
      <c r="AK17" s="223">
        <f t="shared" si="17"/>
        <v>75000</v>
      </c>
      <c r="AL17" s="223">
        <f t="shared" si="18"/>
        <v>37500</v>
      </c>
      <c r="AM17" s="185">
        <f t="shared" ref="AM17" si="43">IFERROR(SUM(AI17:AL17),0)</f>
        <v>1612500</v>
      </c>
      <c r="AN17" s="223">
        <f>IFERROR($G17*2%,0)</f>
        <v>150000</v>
      </c>
      <c r="AO17" s="223">
        <f t="shared" si="20"/>
        <v>600000</v>
      </c>
      <c r="AP17" s="223">
        <f t="shared" si="21"/>
        <v>112500</v>
      </c>
      <c r="AQ17" s="223">
        <f t="shared" si="22"/>
        <v>75000</v>
      </c>
      <c r="AR17" s="185">
        <f t="shared" ref="AR17" si="44">SUM(AO17:AQ17)</f>
        <v>787500</v>
      </c>
      <c r="AS17" s="223">
        <f t="shared" si="24"/>
        <v>0</v>
      </c>
      <c r="AT17" s="223">
        <f t="shared" si="25"/>
        <v>15500000</v>
      </c>
      <c r="AU17" s="223"/>
      <c r="AV17" s="223">
        <f t="shared" ref="AV17" si="45">+AU17*6200000</f>
        <v>0</v>
      </c>
      <c r="AW17" s="223">
        <f t="shared" ref="AW17" si="46">+AT17+AV17</f>
        <v>15500000</v>
      </c>
      <c r="AX17" s="223">
        <f t="shared" si="28"/>
        <v>8000000</v>
      </c>
      <c r="AY17" s="223">
        <f t="shared" ref="AY17" si="47">IF(AX17-AW17-AR17-AS17&lt;0,0,AX17-AW17-AR17-AS17)</f>
        <v>0</v>
      </c>
      <c r="AZ17" s="223">
        <f t="shared" ref="AZ17" si="48">IF(D17="HĐLĐ",IF(AY17&lt;=10000000,AY17*5%,IF(AY17&lt;=30000000,AY17*10%-500000,IF(AY17&lt;=60000000,AY17*20%-3500000,IF(AY17&lt;=100000000,AY17*30%-9500000,AY17*35%-14500000)))),AY17*10%)</f>
        <v>0</v>
      </c>
      <c r="BA17" s="223">
        <f>+VLOOKUP($B17,'Bảng thông tin'!$B:$R,16,0)</f>
        <v>0</v>
      </c>
      <c r="BB17" s="328">
        <f t="shared" ref="BB17" si="49">ROUND(AC17-AZ17-AR17-AS17-BA17,0)</f>
        <v>9584736</v>
      </c>
    </row>
    <row r="18" spans="1:57" s="224" customFormat="1" ht="20.25" customHeight="1" x14ac:dyDescent="0.25">
      <c r="A18" s="219">
        <v>15</v>
      </c>
      <c r="B18" s="259" t="s">
        <v>27</v>
      </c>
      <c r="C18" s="258" t="str">
        <f>+VLOOKUP($B18,'Bảng thông tin'!$B$4:$R$1002,2,0)</f>
        <v>Dương Nguyễn Anh Khoa</v>
      </c>
      <c r="D18" s="219" t="str">
        <f>+VLOOKUP($B18,'Bảng thông tin'!$B$4:$R$1002,3,0)</f>
        <v>HĐLĐ</v>
      </c>
      <c r="E18" s="225" t="s">
        <v>51</v>
      </c>
      <c r="F18" s="226" t="s">
        <v>59</v>
      </c>
      <c r="G18" s="221">
        <f>+VLOOKUP($B18,'Bảng thông tin'!$B$4:$R$1002,7,0)</f>
        <v>8500000</v>
      </c>
      <c r="H18" s="221">
        <f>+VLOOKUP($B18,'Bảng thông tin'!$B$4:$R$1002,8,0)</f>
        <v>7500000</v>
      </c>
      <c r="I18" s="221">
        <f>+VLOOKUP($B18,'Bảng thông tin'!$B$4:$R$1002,9,0)</f>
        <v>1000000</v>
      </c>
      <c r="J18" s="221">
        <f>+VLOOKUP($B18,'Bảng thông tin'!$B$4:$R$1002,10,0)</f>
        <v>1800000</v>
      </c>
      <c r="K18" s="221">
        <f>+VLOOKUP($B18,'Bảng thông tin'!$B$4:$R$1002,11,0)</f>
        <v>500000</v>
      </c>
      <c r="L18" s="221">
        <f>+VLOOKUP($B18,'Bảng thông tin'!$B$4:$R$1002,12,0)</f>
        <v>400000</v>
      </c>
      <c r="M18" s="230">
        <f>+VLOOKUP($B18,'Bảng thông tin'!$B$4:$R$1002,13,0)</f>
        <v>400000</v>
      </c>
      <c r="N18" s="221">
        <f>+VLOOKUP($B18,'Bảng thông tin'!$B$4:$R$1002,14,0)</f>
        <v>11600000</v>
      </c>
      <c r="O18" s="222">
        <f>VLOOKUP($B18,BCC!$B$11:$AN$1032,35,0)</f>
        <v>26</v>
      </c>
      <c r="P18" s="222">
        <f>VLOOKUP($B18,BCC!$B$11:$AN$1032,38,0)+VLOOKUP($B18,BCC!$B$11:$AN$1032,39,0)</f>
        <v>0</v>
      </c>
      <c r="Q18" s="223">
        <f t="shared" si="3"/>
        <v>0</v>
      </c>
      <c r="R18" s="222">
        <f>VLOOKUP($B18,BCC!$B$11:$AN$1032,36,0)</f>
        <v>38.049999999999997</v>
      </c>
      <c r="S18" s="223">
        <f t="shared" si="4"/>
        <v>2332392</v>
      </c>
      <c r="T18" s="222">
        <f>VLOOKUP($B18,BCC!$B$11:$AN$1032,37,0)</f>
        <v>0</v>
      </c>
      <c r="U18" s="223">
        <f t="shared" si="5"/>
        <v>0</v>
      </c>
      <c r="V18" s="306">
        <f t="shared" si="6"/>
        <v>7499999.9999999991</v>
      </c>
      <c r="W18" s="306">
        <f t="shared" si="0"/>
        <v>1000000</v>
      </c>
      <c r="X18" s="223">
        <f t="shared" si="33"/>
        <v>1800000</v>
      </c>
      <c r="Y18" s="223">
        <f t="shared" si="7"/>
        <v>500000</v>
      </c>
      <c r="Z18" s="223">
        <f t="shared" si="32"/>
        <v>400000</v>
      </c>
      <c r="AA18" s="223">
        <f t="shared" si="8"/>
        <v>400000</v>
      </c>
      <c r="AB18" s="223">
        <f>VLOOKUP($B18,'Bảng thông tin'!$B:$R,15,0)+VLOOKUP(B18,'Bảng thông tin'!$B:$Q,16,0)</f>
        <v>0</v>
      </c>
      <c r="AC18" s="223">
        <f t="shared" si="9"/>
        <v>13932392</v>
      </c>
      <c r="AD18" s="223">
        <f t="shared" si="10"/>
        <v>1800000</v>
      </c>
      <c r="AE18" s="223">
        <f t="shared" si="11"/>
        <v>400000</v>
      </c>
      <c r="AF18" s="223">
        <f t="shared" si="12"/>
        <v>400000</v>
      </c>
      <c r="AG18" s="223">
        <f t="shared" si="13"/>
        <v>2332392</v>
      </c>
      <c r="AH18" s="223">
        <f t="shared" si="14"/>
        <v>4932392</v>
      </c>
      <c r="AI18" s="223">
        <f t="shared" si="15"/>
        <v>1445000</v>
      </c>
      <c r="AJ18" s="223">
        <f t="shared" si="16"/>
        <v>255000</v>
      </c>
      <c r="AK18" s="223">
        <f t="shared" si="17"/>
        <v>85000</v>
      </c>
      <c r="AL18" s="223">
        <f t="shared" si="18"/>
        <v>42500</v>
      </c>
      <c r="AM18" s="185">
        <f t="shared" si="19"/>
        <v>1827500</v>
      </c>
      <c r="AN18" s="223">
        <f t="shared" si="1"/>
        <v>170000</v>
      </c>
      <c r="AO18" s="223">
        <f t="shared" si="20"/>
        <v>680000</v>
      </c>
      <c r="AP18" s="223">
        <f t="shared" si="21"/>
        <v>127500</v>
      </c>
      <c r="AQ18" s="223">
        <f t="shared" si="22"/>
        <v>85000</v>
      </c>
      <c r="AR18" s="185">
        <f t="shared" si="23"/>
        <v>892500</v>
      </c>
      <c r="AS18" s="223">
        <f t="shared" si="24"/>
        <v>0</v>
      </c>
      <c r="AT18" s="223">
        <f t="shared" si="25"/>
        <v>15500000</v>
      </c>
      <c r="AU18" s="223"/>
      <c r="AV18" s="223">
        <f t="shared" si="26"/>
        <v>0</v>
      </c>
      <c r="AW18" s="223">
        <f t="shared" si="27"/>
        <v>15500000</v>
      </c>
      <c r="AX18" s="223">
        <f t="shared" si="28"/>
        <v>9000000</v>
      </c>
      <c r="AY18" s="223">
        <f t="shared" si="29"/>
        <v>0</v>
      </c>
      <c r="AZ18" s="223">
        <f t="shared" si="2"/>
        <v>0</v>
      </c>
      <c r="BA18" s="223">
        <f>+VLOOKUP($B18,'Bảng thông tin'!$B:$R,16,0)</f>
        <v>0</v>
      </c>
      <c r="BB18" s="328">
        <f t="shared" si="30"/>
        <v>13039892</v>
      </c>
    </row>
    <row r="19" spans="1:57" s="224" customFormat="1" ht="20.25" customHeight="1" x14ac:dyDescent="0.25">
      <c r="A19" s="219">
        <v>16</v>
      </c>
      <c r="B19" s="259" t="s">
        <v>29</v>
      </c>
      <c r="C19" s="258" t="str">
        <f>+VLOOKUP($B19,'Bảng thông tin'!$B$4:$R$1002,2,0)</f>
        <v>Mai Hà Xuân Phúc</v>
      </c>
      <c r="D19" s="219" t="str">
        <f>+VLOOKUP($B19,'Bảng thông tin'!$B$4:$R$1002,3,0)</f>
        <v>HĐLĐ</v>
      </c>
      <c r="E19" s="225" t="s">
        <v>53</v>
      </c>
      <c r="F19" s="226" t="s">
        <v>59</v>
      </c>
      <c r="G19" s="221">
        <f>+VLOOKUP($B19,'Bảng thông tin'!$B$4:$R$1002,7,0)</f>
        <v>8000000</v>
      </c>
      <c r="H19" s="221">
        <f>+VLOOKUP($B19,'Bảng thông tin'!$B$4:$R$1002,8,0)</f>
        <v>7000000</v>
      </c>
      <c r="I19" s="221">
        <f>+VLOOKUP($B19,'Bảng thông tin'!$B$4:$R$1002,9,0)</f>
        <v>1000000</v>
      </c>
      <c r="J19" s="221">
        <f>+VLOOKUP($B19,'Bảng thông tin'!$B$4:$R$1002,10,0)</f>
        <v>1300000</v>
      </c>
      <c r="K19" s="221">
        <f>+VLOOKUP($B19,'Bảng thông tin'!$B$4:$R$1002,11,0)</f>
        <v>500000</v>
      </c>
      <c r="L19" s="221">
        <f>+VLOOKUP($B19,'Bảng thông tin'!$B$4:$R$1002,12,0)</f>
        <v>400000</v>
      </c>
      <c r="M19" s="230">
        <f>+VLOOKUP($B19,'Bảng thông tin'!$B$4:$R$1002,13,0)</f>
        <v>400000</v>
      </c>
      <c r="N19" s="221">
        <f>+VLOOKUP($B19,'Bảng thông tin'!$B$4:$R$1002,14,0)</f>
        <v>10600000</v>
      </c>
      <c r="O19" s="222">
        <f>VLOOKUP($B19,BCC!$B$11:$AN$1032,35,0)</f>
        <v>26</v>
      </c>
      <c r="P19" s="222">
        <f>VLOOKUP($B19,BCC!$B$11:$AN$1032,38,0)+VLOOKUP($B19,BCC!$B$11:$AN$1032,39,0)</f>
        <v>0</v>
      </c>
      <c r="Q19" s="223">
        <f t="shared" si="3"/>
        <v>0</v>
      </c>
      <c r="R19" s="222">
        <f>VLOOKUP($B19,BCC!$B$11:$AN$1032,36,0)</f>
        <v>34.58</v>
      </c>
      <c r="S19" s="223">
        <f t="shared" si="4"/>
        <v>1995000</v>
      </c>
      <c r="T19" s="222">
        <f>VLOOKUP($B19,BCC!$B$11:$AN$1032,37,0)</f>
        <v>8</v>
      </c>
      <c r="U19" s="223">
        <f t="shared" si="5"/>
        <v>615385</v>
      </c>
      <c r="V19" s="306">
        <f t="shared" si="6"/>
        <v>7000000</v>
      </c>
      <c r="W19" s="306">
        <f t="shared" si="0"/>
        <v>1000000</v>
      </c>
      <c r="X19" s="223">
        <f t="shared" si="33"/>
        <v>1300000</v>
      </c>
      <c r="Y19" s="223">
        <f t="shared" si="7"/>
        <v>500000</v>
      </c>
      <c r="Z19" s="223">
        <f t="shared" si="32"/>
        <v>400000</v>
      </c>
      <c r="AA19" s="223">
        <f t="shared" si="8"/>
        <v>400000</v>
      </c>
      <c r="AB19" s="223">
        <f>VLOOKUP($B19,'Bảng thông tin'!$B:$R,15,0)+VLOOKUP(B19,'Bảng thông tin'!$B:$Q,16,0)</f>
        <v>0</v>
      </c>
      <c r="AC19" s="223">
        <f t="shared" si="9"/>
        <v>13210385</v>
      </c>
      <c r="AD19" s="223">
        <f t="shared" si="10"/>
        <v>1300000</v>
      </c>
      <c r="AE19" s="223">
        <f t="shared" si="11"/>
        <v>400000</v>
      </c>
      <c r="AF19" s="223">
        <f t="shared" si="12"/>
        <v>400000</v>
      </c>
      <c r="AG19" s="223">
        <f t="shared" si="13"/>
        <v>2610385</v>
      </c>
      <c r="AH19" s="223">
        <f t="shared" si="14"/>
        <v>4710385</v>
      </c>
      <c r="AI19" s="223">
        <f t="shared" si="15"/>
        <v>1360000</v>
      </c>
      <c r="AJ19" s="223">
        <f t="shared" si="16"/>
        <v>240000</v>
      </c>
      <c r="AK19" s="223">
        <f t="shared" si="17"/>
        <v>80000</v>
      </c>
      <c r="AL19" s="223">
        <f t="shared" si="18"/>
        <v>40000</v>
      </c>
      <c r="AM19" s="185">
        <f t="shared" si="19"/>
        <v>1720000</v>
      </c>
      <c r="AN19" s="223">
        <f t="shared" si="1"/>
        <v>160000</v>
      </c>
      <c r="AO19" s="223">
        <f t="shared" si="20"/>
        <v>640000</v>
      </c>
      <c r="AP19" s="223">
        <f t="shared" si="21"/>
        <v>120000</v>
      </c>
      <c r="AQ19" s="223">
        <f t="shared" si="22"/>
        <v>80000</v>
      </c>
      <c r="AR19" s="185">
        <f t="shared" si="23"/>
        <v>840000</v>
      </c>
      <c r="AS19" s="223">
        <f t="shared" si="24"/>
        <v>0</v>
      </c>
      <c r="AT19" s="223">
        <f t="shared" si="25"/>
        <v>15500000</v>
      </c>
      <c r="AU19" s="223"/>
      <c r="AV19" s="223">
        <f t="shared" si="26"/>
        <v>0</v>
      </c>
      <c r="AW19" s="223">
        <f t="shared" si="27"/>
        <v>15500000</v>
      </c>
      <c r="AX19" s="223">
        <f t="shared" si="28"/>
        <v>8500000</v>
      </c>
      <c r="AY19" s="223">
        <f t="shared" si="29"/>
        <v>0</v>
      </c>
      <c r="AZ19" s="223">
        <f t="shared" si="2"/>
        <v>0</v>
      </c>
      <c r="BA19" s="223">
        <f>+VLOOKUP($B19,'Bảng thông tin'!$B:$R,16,0)</f>
        <v>0</v>
      </c>
      <c r="BB19" s="328">
        <f t="shared" si="30"/>
        <v>12370385</v>
      </c>
    </row>
    <row r="20" spans="1:57" s="224" customFormat="1" ht="20.25" customHeight="1" x14ac:dyDescent="0.25">
      <c r="A20" s="219">
        <v>17</v>
      </c>
      <c r="B20" s="261" t="s">
        <v>45</v>
      </c>
      <c r="C20" s="258" t="str">
        <f>+VLOOKUP($B20,'Bảng thông tin'!$B$4:$R$1002,2,0)</f>
        <v>Võ Thị Hoà</v>
      </c>
      <c r="D20" s="219" t="str">
        <f>+VLOOKUP($B20,'Bảng thông tin'!$B$4:$R$1002,3,0)</f>
        <v>HĐLĐ</v>
      </c>
      <c r="E20" s="225" t="s">
        <v>60</v>
      </c>
      <c r="F20" s="226" t="s">
        <v>59</v>
      </c>
      <c r="G20" s="221">
        <f>+VLOOKUP($B20,'Bảng thông tin'!$B$4:$R$1002,7,0)</f>
        <v>8500000</v>
      </c>
      <c r="H20" s="221">
        <f>+VLOOKUP($B20,'Bảng thông tin'!$B$4:$R$1002,8,0)</f>
        <v>7500000</v>
      </c>
      <c r="I20" s="221">
        <f>+VLOOKUP($B20,'Bảng thông tin'!$B$4:$R$1002,9,0)</f>
        <v>1000000</v>
      </c>
      <c r="J20" s="221">
        <f>+VLOOKUP($B20,'Bảng thông tin'!$B$4:$R$1002,10,0)</f>
        <v>1800000</v>
      </c>
      <c r="K20" s="221">
        <f>+VLOOKUP($B20,'Bảng thông tin'!$B$4:$R$1002,11,0)</f>
        <v>500000</v>
      </c>
      <c r="L20" s="221">
        <f>+VLOOKUP($B20,'Bảng thông tin'!$B$4:$R$1002,12,0)</f>
        <v>300000</v>
      </c>
      <c r="M20" s="230">
        <f>+VLOOKUP($B20,'Bảng thông tin'!$B$4:$R$1002,13,0)</f>
        <v>400000</v>
      </c>
      <c r="N20" s="221">
        <f>+VLOOKUP($B20,'Bảng thông tin'!$B$4:$R$1002,14,0)</f>
        <v>11500000</v>
      </c>
      <c r="O20" s="222">
        <f>VLOOKUP($B20,BCC!$B$11:$AN$1032,35,0)</f>
        <v>26</v>
      </c>
      <c r="P20" s="222">
        <f>VLOOKUP($B20,BCC!$B$11:$AN$1032,38,0)+VLOOKUP($B20,BCC!$B$11:$AN$1032,39,0)</f>
        <v>0</v>
      </c>
      <c r="Q20" s="223">
        <f t="shared" si="3"/>
        <v>0</v>
      </c>
      <c r="R20" s="222">
        <f>VLOOKUP($B20,BCC!$B$11:$AN$1032,36,0)</f>
        <v>21.47</v>
      </c>
      <c r="S20" s="223">
        <f t="shared" si="4"/>
        <v>1316070</v>
      </c>
      <c r="T20" s="222">
        <f>VLOOKUP($B20,BCC!$B$11:$AN$1032,37,0)</f>
        <v>0</v>
      </c>
      <c r="U20" s="223">
        <f t="shared" si="5"/>
        <v>0</v>
      </c>
      <c r="V20" s="306">
        <f t="shared" si="6"/>
        <v>7499999.9999999991</v>
      </c>
      <c r="W20" s="306">
        <f t="shared" si="0"/>
        <v>1000000</v>
      </c>
      <c r="X20" s="223">
        <f t="shared" si="33"/>
        <v>1800000</v>
      </c>
      <c r="Y20" s="223">
        <f t="shared" si="7"/>
        <v>500000</v>
      </c>
      <c r="Z20" s="223">
        <f t="shared" si="32"/>
        <v>300000</v>
      </c>
      <c r="AA20" s="223">
        <f t="shared" si="8"/>
        <v>400000</v>
      </c>
      <c r="AB20" s="223">
        <f>VLOOKUP($B20,'Bảng thông tin'!$B:$R,15,0)+VLOOKUP(B20,'Bảng thông tin'!$B:$Q,16,0)</f>
        <v>0</v>
      </c>
      <c r="AC20" s="223">
        <f t="shared" si="9"/>
        <v>12816070</v>
      </c>
      <c r="AD20" s="223">
        <f t="shared" si="10"/>
        <v>1800000</v>
      </c>
      <c r="AE20" s="223">
        <f t="shared" si="11"/>
        <v>300000</v>
      </c>
      <c r="AF20" s="223">
        <f t="shared" si="12"/>
        <v>400000</v>
      </c>
      <c r="AG20" s="223">
        <f t="shared" si="13"/>
        <v>1316070</v>
      </c>
      <c r="AH20" s="223">
        <f t="shared" si="14"/>
        <v>3816070</v>
      </c>
      <c r="AI20" s="223">
        <f t="shared" si="15"/>
        <v>1445000</v>
      </c>
      <c r="AJ20" s="223">
        <f t="shared" si="16"/>
        <v>255000</v>
      </c>
      <c r="AK20" s="223">
        <f t="shared" si="17"/>
        <v>85000</v>
      </c>
      <c r="AL20" s="223">
        <f t="shared" si="18"/>
        <v>42500</v>
      </c>
      <c r="AM20" s="185">
        <f t="shared" si="19"/>
        <v>1827500</v>
      </c>
      <c r="AN20" s="223">
        <f t="shared" si="1"/>
        <v>170000</v>
      </c>
      <c r="AO20" s="223">
        <f t="shared" si="20"/>
        <v>680000</v>
      </c>
      <c r="AP20" s="223">
        <f t="shared" si="21"/>
        <v>127500</v>
      </c>
      <c r="AQ20" s="223">
        <f t="shared" si="22"/>
        <v>85000</v>
      </c>
      <c r="AR20" s="185">
        <f t="shared" si="23"/>
        <v>892500</v>
      </c>
      <c r="AS20" s="223">
        <f t="shared" si="24"/>
        <v>0</v>
      </c>
      <c r="AT20" s="223">
        <f t="shared" si="25"/>
        <v>15500000</v>
      </c>
      <c r="AU20" s="223"/>
      <c r="AV20" s="223">
        <f t="shared" si="26"/>
        <v>0</v>
      </c>
      <c r="AW20" s="223">
        <f t="shared" si="27"/>
        <v>15500000</v>
      </c>
      <c r="AX20" s="223">
        <f t="shared" si="28"/>
        <v>9000000</v>
      </c>
      <c r="AY20" s="223">
        <f t="shared" si="29"/>
        <v>0</v>
      </c>
      <c r="AZ20" s="223">
        <f t="shared" si="2"/>
        <v>0</v>
      </c>
      <c r="BA20" s="223">
        <f>+VLOOKUP($B20,'Bảng thông tin'!$B:$R,16,0)</f>
        <v>0</v>
      </c>
      <c r="BB20" s="328">
        <f t="shared" si="30"/>
        <v>11923570</v>
      </c>
    </row>
    <row r="21" spans="1:57" s="224" customFormat="1" ht="20.25" customHeight="1" x14ac:dyDescent="0.25">
      <c r="A21" s="219">
        <v>18</v>
      </c>
      <c r="B21" s="259" t="s">
        <v>47</v>
      </c>
      <c r="C21" s="258" t="str">
        <f>+VLOOKUP($B21,'Bảng thông tin'!$B$4:$R$1002,2,0)</f>
        <v>Võ Thị Hoài</v>
      </c>
      <c r="D21" s="219" t="str">
        <f>+VLOOKUP($B21,'Bảng thông tin'!$B$4:$R$1002,3,0)</f>
        <v>HĐLĐ</v>
      </c>
      <c r="E21" s="225" t="s">
        <v>61</v>
      </c>
      <c r="F21" s="226" t="s">
        <v>59</v>
      </c>
      <c r="G21" s="221">
        <f>+VLOOKUP($B21,'Bảng thông tin'!$B$4:$R$1002,7,0)</f>
        <v>8500000</v>
      </c>
      <c r="H21" s="221">
        <f>+VLOOKUP($B21,'Bảng thông tin'!$B$4:$R$1002,8,0)</f>
        <v>7500000</v>
      </c>
      <c r="I21" s="221">
        <f>+VLOOKUP($B21,'Bảng thông tin'!$B$4:$R$1002,9,0)</f>
        <v>1000000</v>
      </c>
      <c r="J21" s="221">
        <f>+VLOOKUP($B21,'Bảng thông tin'!$B$4:$R$1002,10,0)</f>
        <v>1800000</v>
      </c>
      <c r="K21" s="221">
        <f>+VLOOKUP($B21,'Bảng thông tin'!$B$4:$R$1002,11,0)</f>
        <v>500000</v>
      </c>
      <c r="L21" s="221">
        <f>+VLOOKUP($B21,'Bảng thông tin'!$B$4:$R$1002,12,0)</f>
        <v>300000</v>
      </c>
      <c r="M21" s="230">
        <f>+VLOOKUP($B21,'Bảng thông tin'!$B$4:$R$1002,13,0)</f>
        <v>400000</v>
      </c>
      <c r="N21" s="221">
        <f>+VLOOKUP($B21,'Bảng thông tin'!$B$4:$R$1002,14,0)</f>
        <v>11500000</v>
      </c>
      <c r="O21" s="222">
        <f>VLOOKUP($B21,BCC!$B$11:$AN$1032,35,0)</f>
        <v>25</v>
      </c>
      <c r="P21" s="222">
        <f>VLOOKUP($B21,BCC!$B$11:$AN$1032,38,0)+VLOOKUP($B21,BCC!$B$11:$AN$1032,39,0)</f>
        <v>1</v>
      </c>
      <c r="Q21" s="223">
        <f t="shared" si="3"/>
        <v>326923.07692307694</v>
      </c>
      <c r="R21" s="222">
        <f>VLOOKUP($B21,BCC!$B$11:$AN$1032,36,0)</f>
        <v>39.049999999999997</v>
      </c>
      <c r="S21" s="223">
        <f t="shared" si="4"/>
        <v>2393690</v>
      </c>
      <c r="T21" s="222">
        <f>VLOOKUP($B21,BCC!$B$11:$AN$1032,37,0)</f>
        <v>0</v>
      </c>
      <c r="U21" s="223">
        <f t="shared" si="5"/>
        <v>0</v>
      </c>
      <c r="V21" s="306">
        <f t="shared" si="6"/>
        <v>7211538.461538461</v>
      </c>
      <c r="W21" s="306">
        <f t="shared" si="0"/>
        <v>961538.4615384615</v>
      </c>
      <c r="X21" s="223">
        <f t="shared" si="33"/>
        <v>1730769.2307692308</v>
      </c>
      <c r="Y21" s="223">
        <f t="shared" si="7"/>
        <v>480769.23076923075</v>
      </c>
      <c r="Z21" s="223">
        <f t="shared" si="32"/>
        <v>288461.5384615385</v>
      </c>
      <c r="AA21" s="223">
        <f t="shared" si="8"/>
        <v>400000</v>
      </c>
      <c r="AB21" s="223">
        <f>VLOOKUP($B21,'Bảng thông tin'!$B:$R,15,0)+VLOOKUP(B21,'Bảng thông tin'!$B:$Q,16,0)</f>
        <v>0</v>
      </c>
      <c r="AC21" s="223">
        <f t="shared" si="9"/>
        <v>13793689.999999996</v>
      </c>
      <c r="AD21" s="223">
        <f t="shared" si="10"/>
        <v>1730769.2307692308</v>
      </c>
      <c r="AE21" s="223">
        <f t="shared" si="11"/>
        <v>288461.5384615385</v>
      </c>
      <c r="AF21" s="223">
        <f t="shared" si="12"/>
        <v>400000</v>
      </c>
      <c r="AG21" s="223">
        <f t="shared" si="13"/>
        <v>2393690</v>
      </c>
      <c r="AH21" s="223">
        <f t="shared" si="14"/>
        <v>4812920.769230769</v>
      </c>
      <c r="AI21" s="223">
        <f t="shared" si="15"/>
        <v>1445000</v>
      </c>
      <c r="AJ21" s="223">
        <f t="shared" si="16"/>
        <v>255000</v>
      </c>
      <c r="AK21" s="223">
        <f t="shared" si="17"/>
        <v>85000</v>
      </c>
      <c r="AL21" s="223">
        <f t="shared" si="18"/>
        <v>42500</v>
      </c>
      <c r="AM21" s="185">
        <f t="shared" si="19"/>
        <v>1827500</v>
      </c>
      <c r="AN21" s="223">
        <f t="shared" si="1"/>
        <v>170000</v>
      </c>
      <c r="AO21" s="223">
        <f t="shared" si="20"/>
        <v>680000</v>
      </c>
      <c r="AP21" s="223">
        <f t="shared" si="21"/>
        <v>127500</v>
      </c>
      <c r="AQ21" s="223">
        <f t="shared" si="22"/>
        <v>85000</v>
      </c>
      <c r="AR21" s="185">
        <f t="shared" si="23"/>
        <v>892500</v>
      </c>
      <c r="AS21" s="223">
        <f t="shared" si="24"/>
        <v>0</v>
      </c>
      <c r="AT21" s="223">
        <f t="shared" si="25"/>
        <v>15500000</v>
      </c>
      <c r="AU21" s="223"/>
      <c r="AV21" s="223">
        <f t="shared" si="26"/>
        <v>0</v>
      </c>
      <c r="AW21" s="223">
        <f t="shared" si="27"/>
        <v>15500000</v>
      </c>
      <c r="AX21" s="223">
        <f t="shared" si="28"/>
        <v>8980769</v>
      </c>
      <c r="AY21" s="223">
        <f t="shared" si="29"/>
        <v>0</v>
      </c>
      <c r="AZ21" s="223">
        <f t="shared" si="2"/>
        <v>0</v>
      </c>
      <c r="BA21" s="223">
        <f>+VLOOKUP($B21,'Bảng thông tin'!$B:$R,16,0)</f>
        <v>0</v>
      </c>
      <c r="BB21" s="328">
        <f t="shared" si="30"/>
        <v>12901190</v>
      </c>
    </row>
    <row r="22" spans="1:57" s="224" customFormat="1" ht="20.25" customHeight="1" x14ac:dyDescent="0.25">
      <c r="A22" s="219">
        <v>19</v>
      </c>
      <c r="B22" s="259" t="s">
        <v>31</v>
      </c>
      <c r="C22" s="258" t="str">
        <f>+VLOOKUP($B22,'Bảng thông tin'!$B$4:$R$1002,2,0)</f>
        <v>Cao Ngân Giang</v>
      </c>
      <c r="D22" s="219" t="str">
        <f>+VLOOKUP($B22,'Bảng thông tin'!$B$4:$R$1002,3,0)</f>
        <v>HĐLĐ</v>
      </c>
      <c r="E22" s="225" t="s">
        <v>54</v>
      </c>
      <c r="F22" s="226" t="s">
        <v>59</v>
      </c>
      <c r="G22" s="221">
        <f>+VLOOKUP($B22,'Bảng thông tin'!$B$4:$R$1002,7,0)</f>
        <v>7000000</v>
      </c>
      <c r="H22" s="221">
        <f>+VLOOKUP($B22,'Bảng thông tin'!$B$4:$R$1002,8,0)</f>
        <v>6500000</v>
      </c>
      <c r="I22" s="221">
        <f>+VLOOKUP($B22,'Bảng thông tin'!$B$4:$R$1002,9,0)</f>
        <v>500000</v>
      </c>
      <c r="J22" s="221">
        <f>+VLOOKUP($B22,'Bảng thông tin'!$B$4:$R$1002,10,0)</f>
        <v>1000000</v>
      </c>
      <c r="K22" s="221">
        <f>+VLOOKUP($B22,'Bảng thông tin'!$B$4:$R$1002,11,0)</f>
        <v>500000</v>
      </c>
      <c r="L22" s="221">
        <f>+VLOOKUP($B22,'Bảng thông tin'!$B$4:$R$1002,12,0)</f>
        <v>300000</v>
      </c>
      <c r="M22" s="230">
        <f>+VLOOKUP($B22,'Bảng thông tin'!$B$4:$R$1002,13,0)</f>
        <v>400000</v>
      </c>
      <c r="N22" s="221">
        <f>+VLOOKUP($B22,'Bảng thông tin'!$B$4:$R$1002,14,0)</f>
        <v>9200000</v>
      </c>
      <c r="O22" s="222">
        <f>VLOOKUP($B22,BCC!$B$11:$AN$1032,35,0)</f>
        <v>26</v>
      </c>
      <c r="P22" s="222">
        <f>VLOOKUP($B22,BCC!$B$11:$AN$1032,38,0)+VLOOKUP($B22,BCC!$B$11:$AN$1032,39,0)</f>
        <v>0</v>
      </c>
      <c r="Q22" s="223">
        <f t="shared" si="3"/>
        <v>0</v>
      </c>
      <c r="R22" s="222">
        <f>VLOOKUP($B22,BCC!$B$11:$AN$1032,36,0)</f>
        <v>29.33</v>
      </c>
      <c r="S22" s="223">
        <f t="shared" si="4"/>
        <v>1480601</v>
      </c>
      <c r="T22" s="222">
        <f>VLOOKUP($B22,BCC!$B$11:$AN$1032,37,0)</f>
        <v>0</v>
      </c>
      <c r="U22" s="223">
        <f t="shared" si="5"/>
        <v>0</v>
      </c>
      <c r="V22" s="306">
        <f t="shared" si="6"/>
        <v>6500000</v>
      </c>
      <c r="W22" s="306">
        <f t="shared" si="0"/>
        <v>500000</v>
      </c>
      <c r="X22" s="223">
        <f t="shared" si="31"/>
        <v>1000000</v>
      </c>
      <c r="Y22" s="223">
        <f t="shared" si="7"/>
        <v>500000</v>
      </c>
      <c r="Z22" s="223">
        <f t="shared" si="32"/>
        <v>300000</v>
      </c>
      <c r="AA22" s="223">
        <f t="shared" si="8"/>
        <v>400000</v>
      </c>
      <c r="AB22" s="223">
        <f>VLOOKUP($B22,'Bảng thông tin'!$B:$R,15,0)+VLOOKUP(B22,'Bảng thông tin'!$B:$Q,16,0)</f>
        <v>0</v>
      </c>
      <c r="AC22" s="223">
        <f t="shared" si="9"/>
        <v>10680601</v>
      </c>
      <c r="AD22" s="223">
        <f t="shared" si="10"/>
        <v>1000000</v>
      </c>
      <c r="AE22" s="223">
        <f t="shared" si="11"/>
        <v>300000</v>
      </c>
      <c r="AF22" s="223">
        <f t="shared" si="12"/>
        <v>400000</v>
      </c>
      <c r="AG22" s="223">
        <f t="shared" si="13"/>
        <v>1480601</v>
      </c>
      <c r="AH22" s="223">
        <f t="shared" si="14"/>
        <v>3180601</v>
      </c>
      <c r="AI22" s="223">
        <f t="shared" si="15"/>
        <v>1190000</v>
      </c>
      <c r="AJ22" s="223">
        <f t="shared" si="16"/>
        <v>210000</v>
      </c>
      <c r="AK22" s="223">
        <f t="shared" si="17"/>
        <v>70000</v>
      </c>
      <c r="AL22" s="223">
        <f t="shared" si="18"/>
        <v>35000</v>
      </c>
      <c r="AM22" s="185">
        <f t="shared" si="19"/>
        <v>1505000</v>
      </c>
      <c r="AN22" s="223">
        <f t="shared" si="1"/>
        <v>140000</v>
      </c>
      <c r="AO22" s="223">
        <f t="shared" si="20"/>
        <v>560000</v>
      </c>
      <c r="AP22" s="223">
        <f t="shared" si="21"/>
        <v>105000</v>
      </c>
      <c r="AQ22" s="223">
        <f t="shared" si="22"/>
        <v>70000</v>
      </c>
      <c r="AR22" s="185">
        <f t="shared" si="23"/>
        <v>735000</v>
      </c>
      <c r="AS22" s="223">
        <f t="shared" si="24"/>
        <v>0</v>
      </c>
      <c r="AT22" s="223">
        <f t="shared" si="25"/>
        <v>15500000</v>
      </c>
      <c r="AU22" s="223"/>
      <c r="AV22" s="223">
        <f t="shared" si="26"/>
        <v>0</v>
      </c>
      <c r="AW22" s="223">
        <f t="shared" si="27"/>
        <v>15500000</v>
      </c>
      <c r="AX22" s="223">
        <f t="shared" si="28"/>
        <v>7500000</v>
      </c>
      <c r="AY22" s="223">
        <f t="shared" si="29"/>
        <v>0</v>
      </c>
      <c r="AZ22" s="223">
        <f t="shared" si="2"/>
        <v>0</v>
      </c>
      <c r="BA22" s="223">
        <f>+VLOOKUP($B22,'Bảng thông tin'!$B:$R,16,0)</f>
        <v>0</v>
      </c>
      <c r="BB22" s="335">
        <f t="shared" si="30"/>
        <v>9945601</v>
      </c>
    </row>
    <row r="23" spans="1:57" s="224" customFormat="1" ht="20.25" customHeight="1" x14ac:dyDescent="0.25">
      <c r="A23" s="219">
        <v>20</v>
      </c>
      <c r="B23" s="259" t="s">
        <v>33</v>
      </c>
      <c r="C23" s="258" t="str">
        <f>+VLOOKUP($B23,'Bảng thông tin'!$B$4:$R$1002,2,0)</f>
        <v>Lê Thị Hà</v>
      </c>
      <c r="D23" s="219" t="str">
        <f>+VLOOKUP($B23,'Bảng thông tin'!$B$4:$R$1002,3,0)</f>
        <v>HĐLĐ</v>
      </c>
      <c r="E23" s="225" t="s">
        <v>54</v>
      </c>
      <c r="F23" s="226" t="s">
        <v>59</v>
      </c>
      <c r="G23" s="221">
        <f>+VLOOKUP($B23,'Bảng thông tin'!$B$4:$R$1002,7,0)</f>
        <v>7000000</v>
      </c>
      <c r="H23" s="221">
        <f>+VLOOKUP($B23,'Bảng thông tin'!$B$4:$R$1002,8,0)</f>
        <v>6500000</v>
      </c>
      <c r="I23" s="221">
        <f>+VLOOKUP($B23,'Bảng thông tin'!$B$4:$R$1002,9,0)</f>
        <v>500000</v>
      </c>
      <c r="J23" s="221">
        <f>+VLOOKUP($B23,'Bảng thông tin'!$B$4:$R$1002,10,0)</f>
        <v>1000000</v>
      </c>
      <c r="K23" s="221">
        <f>+VLOOKUP($B23,'Bảng thông tin'!$B$4:$R$1002,11,0)</f>
        <v>500000</v>
      </c>
      <c r="L23" s="221">
        <f>+VLOOKUP($B23,'Bảng thông tin'!$B$4:$R$1002,12,0)</f>
        <v>300000</v>
      </c>
      <c r="M23" s="230">
        <f>+VLOOKUP($B23,'Bảng thông tin'!$B$4:$R$1002,13,0)</f>
        <v>400000</v>
      </c>
      <c r="N23" s="221">
        <f>+VLOOKUP($B23,'Bảng thông tin'!$B$4:$R$1002,14,0)</f>
        <v>9200000</v>
      </c>
      <c r="O23" s="222">
        <f>VLOOKUP($B23,BCC!$B$11:$AN$1032,35,0)</f>
        <v>25</v>
      </c>
      <c r="P23" s="222">
        <f>VLOOKUP($B23,BCC!$B$11:$AN$1032,38,0)+VLOOKUP($B23,BCC!$B$11:$AN$1032,39,0)</f>
        <v>1</v>
      </c>
      <c r="Q23" s="223">
        <f t="shared" ref="Q23:Q43" si="50">+((H23+I23)/26)*P23</f>
        <v>269230.76923076925</v>
      </c>
      <c r="R23" s="222">
        <f>VLOOKUP($B23,BCC!$B$11:$AN$1032,36,0)</f>
        <v>12.333</v>
      </c>
      <c r="S23" s="223">
        <f t="shared" si="4"/>
        <v>622579</v>
      </c>
      <c r="T23" s="222">
        <f>VLOOKUP($B23,BCC!$B$11:$AN$1032,37,0)</f>
        <v>0</v>
      </c>
      <c r="U23" s="223">
        <f t="shared" si="5"/>
        <v>0</v>
      </c>
      <c r="V23" s="306">
        <f t="shared" si="6"/>
        <v>6250000</v>
      </c>
      <c r="W23" s="306">
        <f t="shared" si="0"/>
        <v>480769.23076923075</v>
      </c>
      <c r="X23" s="223">
        <f t="shared" si="31"/>
        <v>961538.4615384615</v>
      </c>
      <c r="Y23" s="223">
        <f t="shared" si="7"/>
        <v>480769.23076923075</v>
      </c>
      <c r="Z23" s="223">
        <f t="shared" si="32"/>
        <v>288461.5384615385</v>
      </c>
      <c r="AA23" s="223">
        <f t="shared" si="8"/>
        <v>400000</v>
      </c>
      <c r="AB23" s="223">
        <f>VLOOKUP($B23,'Bảng thông tin'!$B:$R,15,0)+VLOOKUP(B23,'Bảng thông tin'!$B:$Q,16,0)</f>
        <v>0</v>
      </c>
      <c r="AC23" s="223">
        <f t="shared" si="9"/>
        <v>9753348.2307692319</v>
      </c>
      <c r="AD23" s="223">
        <f t="shared" si="10"/>
        <v>961538.4615384615</v>
      </c>
      <c r="AE23" s="223">
        <f t="shared" si="11"/>
        <v>288461.5384615385</v>
      </c>
      <c r="AF23" s="223">
        <f t="shared" si="12"/>
        <v>400000</v>
      </c>
      <c r="AG23" s="223">
        <f t="shared" si="13"/>
        <v>622579</v>
      </c>
      <c r="AH23" s="223">
        <f t="shared" si="14"/>
        <v>2272579</v>
      </c>
      <c r="AI23" s="223">
        <f t="shared" si="15"/>
        <v>1190000</v>
      </c>
      <c r="AJ23" s="223">
        <f t="shared" si="16"/>
        <v>210000</v>
      </c>
      <c r="AK23" s="223">
        <f t="shared" si="17"/>
        <v>70000</v>
      </c>
      <c r="AL23" s="223">
        <f t="shared" si="18"/>
        <v>35000</v>
      </c>
      <c r="AM23" s="185">
        <f t="shared" si="19"/>
        <v>1505000</v>
      </c>
      <c r="AN23" s="223">
        <f t="shared" si="1"/>
        <v>140000</v>
      </c>
      <c r="AO23" s="223">
        <f t="shared" si="20"/>
        <v>560000</v>
      </c>
      <c r="AP23" s="223">
        <f t="shared" si="21"/>
        <v>105000</v>
      </c>
      <c r="AQ23" s="223">
        <f t="shared" si="22"/>
        <v>70000</v>
      </c>
      <c r="AR23" s="185">
        <f t="shared" si="23"/>
        <v>735000</v>
      </c>
      <c r="AS23" s="223">
        <f t="shared" si="24"/>
        <v>0</v>
      </c>
      <c r="AT23" s="223">
        <f t="shared" si="25"/>
        <v>15500000</v>
      </c>
      <c r="AU23" s="223"/>
      <c r="AV23" s="223">
        <f t="shared" si="26"/>
        <v>0</v>
      </c>
      <c r="AW23" s="223">
        <f t="shared" si="27"/>
        <v>15500000</v>
      </c>
      <c r="AX23" s="223">
        <f t="shared" si="28"/>
        <v>7480769</v>
      </c>
      <c r="AY23" s="223">
        <f t="shared" si="29"/>
        <v>0</v>
      </c>
      <c r="AZ23" s="223">
        <f t="shared" si="2"/>
        <v>0</v>
      </c>
      <c r="BA23" s="223">
        <f>+VLOOKUP($B23,'Bảng thông tin'!$B:$R,16,0)</f>
        <v>0</v>
      </c>
      <c r="BB23" s="335">
        <f t="shared" si="30"/>
        <v>9018348</v>
      </c>
      <c r="BD23" s="359"/>
      <c r="BE23" s="359"/>
    </row>
    <row r="24" spans="1:57" s="224" customFormat="1" ht="20.25" customHeight="1" x14ac:dyDescent="0.25">
      <c r="A24" s="219">
        <v>21</v>
      </c>
      <c r="B24" s="259" t="s">
        <v>35</v>
      </c>
      <c r="C24" s="258" t="str">
        <f>+VLOOKUP($B24,'Bảng thông tin'!$B$4:$R$1002,2,0)</f>
        <v>Nguyễn A Khương</v>
      </c>
      <c r="D24" s="219" t="str">
        <f>+VLOOKUP($B24,'Bảng thông tin'!$B$4:$R$1002,3,0)</f>
        <v>HĐLĐ</v>
      </c>
      <c r="E24" s="225" t="s">
        <v>54</v>
      </c>
      <c r="F24" s="226" t="s">
        <v>59</v>
      </c>
      <c r="G24" s="221">
        <f>+VLOOKUP($B24,'Bảng thông tin'!$B$4:$R$1002,7,0)</f>
        <v>7000000</v>
      </c>
      <c r="H24" s="221">
        <f>+VLOOKUP($B24,'Bảng thông tin'!$B$4:$R$1002,8,0)</f>
        <v>6500000</v>
      </c>
      <c r="I24" s="221">
        <f>+VLOOKUP($B24,'Bảng thông tin'!$B$4:$R$1002,9,0)</f>
        <v>500000</v>
      </c>
      <c r="J24" s="221">
        <f>+VLOOKUP($B24,'Bảng thông tin'!$B$4:$R$1002,10,0)</f>
        <v>1000000</v>
      </c>
      <c r="K24" s="221">
        <f>+VLOOKUP($B24,'Bảng thông tin'!$B$4:$R$1002,11,0)</f>
        <v>500000</v>
      </c>
      <c r="L24" s="221">
        <f>+VLOOKUP($B24,'Bảng thông tin'!$B$4:$R$1002,12,0)</f>
        <v>300000</v>
      </c>
      <c r="M24" s="230">
        <f>+VLOOKUP($B24,'Bảng thông tin'!$B$4:$R$1002,13,0)</f>
        <v>400000</v>
      </c>
      <c r="N24" s="221">
        <f>+VLOOKUP($B24,'Bảng thông tin'!$B$4:$R$1002,14,0)</f>
        <v>9200000</v>
      </c>
      <c r="O24" s="222">
        <f>VLOOKUP($B24,BCC!$B$11:$AN$1032,35,0)</f>
        <v>26</v>
      </c>
      <c r="P24" s="222">
        <f>VLOOKUP($B24,BCC!$B$11:$AN$1032,38,0)+VLOOKUP($B24,BCC!$B$11:$AN$1032,39,0)</f>
        <v>0</v>
      </c>
      <c r="Q24" s="223">
        <f t="shared" si="50"/>
        <v>0</v>
      </c>
      <c r="R24" s="222">
        <f>VLOOKUP($B24,BCC!$B$11:$AN$1032,36,0)</f>
        <v>10.28</v>
      </c>
      <c r="S24" s="223">
        <f t="shared" si="4"/>
        <v>518942</v>
      </c>
      <c r="T24" s="222">
        <f>VLOOKUP($B24,BCC!$B$11:$AN$1032,37,0)</f>
        <v>0</v>
      </c>
      <c r="U24" s="223">
        <f t="shared" si="5"/>
        <v>0</v>
      </c>
      <c r="V24" s="306">
        <f t="shared" si="6"/>
        <v>6500000</v>
      </c>
      <c r="W24" s="306">
        <f t="shared" si="0"/>
        <v>500000</v>
      </c>
      <c r="X24" s="223">
        <f t="shared" si="31"/>
        <v>1000000</v>
      </c>
      <c r="Y24" s="223">
        <f t="shared" si="7"/>
        <v>500000</v>
      </c>
      <c r="Z24" s="223">
        <f t="shared" si="32"/>
        <v>300000</v>
      </c>
      <c r="AA24" s="223">
        <f t="shared" si="8"/>
        <v>400000</v>
      </c>
      <c r="AB24" s="223">
        <f>VLOOKUP($B24,'Bảng thông tin'!$B:$R,15,0)+VLOOKUP(B24,'Bảng thông tin'!$B:$Q,16,0)</f>
        <v>0</v>
      </c>
      <c r="AC24" s="223">
        <f t="shared" si="9"/>
        <v>9718942</v>
      </c>
      <c r="AD24" s="223">
        <f t="shared" si="10"/>
        <v>1000000</v>
      </c>
      <c r="AE24" s="223">
        <f t="shared" si="11"/>
        <v>300000</v>
      </c>
      <c r="AF24" s="223">
        <f t="shared" si="12"/>
        <v>400000</v>
      </c>
      <c r="AG24" s="223">
        <f t="shared" si="13"/>
        <v>518942</v>
      </c>
      <c r="AH24" s="223">
        <f t="shared" si="14"/>
        <v>2218942</v>
      </c>
      <c r="AI24" s="223">
        <f t="shared" si="15"/>
        <v>1190000</v>
      </c>
      <c r="AJ24" s="223">
        <f t="shared" si="16"/>
        <v>210000</v>
      </c>
      <c r="AK24" s="223">
        <f t="shared" si="17"/>
        <v>70000</v>
      </c>
      <c r="AL24" s="223">
        <f t="shared" si="18"/>
        <v>35000</v>
      </c>
      <c r="AM24" s="185">
        <f t="shared" si="19"/>
        <v>1505000</v>
      </c>
      <c r="AN24" s="223">
        <f t="shared" si="1"/>
        <v>140000</v>
      </c>
      <c r="AO24" s="223">
        <f t="shared" si="20"/>
        <v>560000</v>
      </c>
      <c r="AP24" s="223">
        <f t="shared" si="21"/>
        <v>105000</v>
      </c>
      <c r="AQ24" s="223">
        <f t="shared" si="22"/>
        <v>70000</v>
      </c>
      <c r="AR24" s="185">
        <f t="shared" si="23"/>
        <v>735000</v>
      </c>
      <c r="AS24" s="223">
        <f t="shared" si="24"/>
        <v>0</v>
      </c>
      <c r="AT24" s="223">
        <f t="shared" si="25"/>
        <v>15500000</v>
      </c>
      <c r="AU24" s="223"/>
      <c r="AV24" s="223">
        <f t="shared" si="26"/>
        <v>0</v>
      </c>
      <c r="AW24" s="223">
        <f t="shared" si="27"/>
        <v>15500000</v>
      </c>
      <c r="AX24" s="223">
        <f t="shared" si="28"/>
        <v>7500000</v>
      </c>
      <c r="AY24" s="223">
        <f t="shared" si="29"/>
        <v>0</v>
      </c>
      <c r="AZ24" s="223">
        <f t="shared" si="2"/>
        <v>0</v>
      </c>
      <c r="BA24" s="223">
        <f>+VLOOKUP($B24,'Bảng thông tin'!$B:$R,16,0)</f>
        <v>0</v>
      </c>
      <c r="BB24" s="335">
        <f t="shared" si="30"/>
        <v>8983942</v>
      </c>
    </row>
    <row r="25" spans="1:57" s="224" customFormat="1" ht="20.25" customHeight="1" x14ac:dyDescent="0.25">
      <c r="A25" s="219">
        <v>22</v>
      </c>
      <c r="B25" s="259" t="s">
        <v>37</v>
      </c>
      <c r="C25" s="258" t="str">
        <f>+VLOOKUP($B25,'Bảng thông tin'!$B$4:$R$1002,2,0)</f>
        <v>Nguyễn Thị Minh Thoa</v>
      </c>
      <c r="D25" s="219" t="str">
        <f>+VLOOKUP($B25,'Bảng thông tin'!$B$4:$R$1002,3,0)</f>
        <v>HĐLĐ</v>
      </c>
      <c r="E25" s="225" t="s">
        <v>54</v>
      </c>
      <c r="F25" s="226" t="s">
        <v>59</v>
      </c>
      <c r="G25" s="221">
        <f>+VLOOKUP($B25,'Bảng thông tin'!$B$4:$R$1002,7,0)</f>
        <v>7000000</v>
      </c>
      <c r="H25" s="221">
        <f>+VLOOKUP($B25,'Bảng thông tin'!$B$4:$R$1002,8,0)</f>
        <v>6500000</v>
      </c>
      <c r="I25" s="221">
        <f>+VLOOKUP($B25,'Bảng thông tin'!$B$4:$R$1002,9,0)</f>
        <v>500000</v>
      </c>
      <c r="J25" s="221">
        <f>+VLOOKUP($B25,'Bảng thông tin'!$B$4:$R$1002,10,0)</f>
        <v>1000000</v>
      </c>
      <c r="K25" s="221">
        <f>+VLOOKUP($B25,'Bảng thông tin'!$B$4:$R$1002,11,0)</f>
        <v>500000</v>
      </c>
      <c r="L25" s="221">
        <f>+VLOOKUP($B25,'Bảng thông tin'!$B$4:$R$1002,12,0)</f>
        <v>300000</v>
      </c>
      <c r="M25" s="230">
        <f>+VLOOKUP($B25,'Bảng thông tin'!$B$4:$R$1002,13,0)</f>
        <v>400000</v>
      </c>
      <c r="N25" s="221">
        <f>+VLOOKUP($B25,'Bảng thông tin'!$B$4:$R$1002,14,0)</f>
        <v>9200000</v>
      </c>
      <c r="O25" s="222">
        <f>VLOOKUP($B25,BCC!$B$11:$AN$1032,35,0)</f>
        <v>24</v>
      </c>
      <c r="P25" s="222">
        <f>VLOOKUP($B25,BCC!$B$11:$AN$1032,38,0)+VLOOKUP($B25,BCC!$B$11:$AN$1032,39,0)</f>
        <v>2</v>
      </c>
      <c r="Q25" s="223">
        <f>+((H25+I25)/26)*P25</f>
        <v>538461.5384615385</v>
      </c>
      <c r="R25" s="222">
        <f>VLOOKUP($B25,BCC!$B$11:$AN$1032,36,0)</f>
        <v>25.46</v>
      </c>
      <c r="S25" s="223">
        <f t="shared" si="4"/>
        <v>1285240</v>
      </c>
      <c r="T25" s="222">
        <f>VLOOKUP($B25,BCC!$B$11:$AN$1032,37,0)</f>
        <v>0</v>
      </c>
      <c r="U25" s="223">
        <f t="shared" si="5"/>
        <v>0</v>
      </c>
      <c r="V25" s="306">
        <f t="shared" si="6"/>
        <v>6000000</v>
      </c>
      <c r="W25" s="306">
        <f t="shared" si="0"/>
        <v>461538.4615384615</v>
      </c>
      <c r="X25" s="223">
        <f t="shared" si="31"/>
        <v>923076.92307692301</v>
      </c>
      <c r="Y25" s="223">
        <f t="shared" si="7"/>
        <v>461538.4615384615</v>
      </c>
      <c r="Z25" s="223">
        <f t="shared" si="32"/>
        <v>276923.07692307694</v>
      </c>
      <c r="AA25" s="223">
        <f t="shared" si="8"/>
        <v>400000</v>
      </c>
      <c r="AB25" s="223">
        <f>VLOOKUP($B25,'Bảng thông tin'!$B:$R,15,0)+VLOOKUP(B25,'Bảng thông tin'!$B:$Q,16,0)</f>
        <v>0</v>
      </c>
      <c r="AC25" s="223">
        <f t="shared" si="9"/>
        <v>10346778.461538462</v>
      </c>
      <c r="AD25" s="223">
        <f t="shared" si="10"/>
        <v>923076.92307692301</v>
      </c>
      <c r="AE25" s="223">
        <f t="shared" si="11"/>
        <v>276923.07692307694</v>
      </c>
      <c r="AF25" s="223">
        <f t="shared" si="12"/>
        <v>400000</v>
      </c>
      <c r="AG25" s="223">
        <f t="shared" si="13"/>
        <v>1285240</v>
      </c>
      <c r="AH25" s="223">
        <f t="shared" si="14"/>
        <v>2885240</v>
      </c>
      <c r="AI25" s="223">
        <f t="shared" si="15"/>
        <v>1190000</v>
      </c>
      <c r="AJ25" s="223">
        <f t="shared" si="16"/>
        <v>210000</v>
      </c>
      <c r="AK25" s="223">
        <f t="shared" si="17"/>
        <v>70000</v>
      </c>
      <c r="AL25" s="223">
        <f t="shared" si="18"/>
        <v>35000</v>
      </c>
      <c r="AM25" s="185">
        <f t="shared" si="19"/>
        <v>1505000</v>
      </c>
      <c r="AN25" s="223">
        <f t="shared" si="1"/>
        <v>140000</v>
      </c>
      <c r="AO25" s="223">
        <f t="shared" si="20"/>
        <v>560000</v>
      </c>
      <c r="AP25" s="223">
        <f t="shared" si="21"/>
        <v>105000</v>
      </c>
      <c r="AQ25" s="223">
        <f t="shared" si="22"/>
        <v>70000</v>
      </c>
      <c r="AR25" s="185">
        <f t="shared" si="23"/>
        <v>735000</v>
      </c>
      <c r="AS25" s="223">
        <f t="shared" si="24"/>
        <v>0</v>
      </c>
      <c r="AT25" s="223">
        <f t="shared" si="25"/>
        <v>15500000</v>
      </c>
      <c r="AU25" s="223"/>
      <c r="AV25" s="223">
        <f t="shared" si="26"/>
        <v>0</v>
      </c>
      <c r="AW25" s="223">
        <f t="shared" si="27"/>
        <v>15500000</v>
      </c>
      <c r="AX25" s="223">
        <f t="shared" si="28"/>
        <v>7461538</v>
      </c>
      <c r="AY25" s="223">
        <f t="shared" si="29"/>
        <v>0</v>
      </c>
      <c r="AZ25" s="223">
        <f t="shared" si="2"/>
        <v>0</v>
      </c>
      <c r="BA25" s="223">
        <f>+VLOOKUP($B25,'Bảng thông tin'!$B:$R,16,0)</f>
        <v>0</v>
      </c>
      <c r="BB25" s="335">
        <f t="shared" si="30"/>
        <v>9611778</v>
      </c>
      <c r="BD25" s="359"/>
    </row>
    <row r="26" spans="1:57" s="224" customFormat="1" ht="20.25" customHeight="1" x14ac:dyDescent="0.25">
      <c r="A26" s="219">
        <v>23</v>
      </c>
      <c r="B26" s="259" t="s">
        <v>39</v>
      </c>
      <c r="C26" s="258" t="str">
        <f>+VLOOKUP($B26,'Bảng thông tin'!$B$4:$R$1002,2,0)</f>
        <v>Du Kim Hân</v>
      </c>
      <c r="D26" s="219" t="str">
        <f>+VLOOKUP($B26,'Bảng thông tin'!$B$4:$R$1002,3,0)</f>
        <v>HĐLĐ</v>
      </c>
      <c r="E26" s="225" t="s">
        <v>54</v>
      </c>
      <c r="F26" s="226" t="s">
        <v>59</v>
      </c>
      <c r="G26" s="221">
        <f>+VLOOKUP($B26,'Bảng thông tin'!$B$4:$R$1002,7,0)</f>
        <v>7000000</v>
      </c>
      <c r="H26" s="221">
        <f>+VLOOKUP($B26,'Bảng thông tin'!$B$4:$R$1002,8,0)</f>
        <v>6500000</v>
      </c>
      <c r="I26" s="221">
        <f>+VLOOKUP($B26,'Bảng thông tin'!$B$4:$R$1002,9,0)</f>
        <v>500000</v>
      </c>
      <c r="J26" s="221">
        <f>+VLOOKUP($B26,'Bảng thông tin'!$B$4:$R$1002,10,0)</f>
        <v>1000000</v>
      </c>
      <c r="K26" s="221">
        <f>+VLOOKUP($B26,'Bảng thông tin'!$B$4:$R$1002,11,0)</f>
        <v>500000</v>
      </c>
      <c r="L26" s="221">
        <f>+VLOOKUP($B26,'Bảng thông tin'!$B$4:$R$1002,12,0)</f>
        <v>300000</v>
      </c>
      <c r="M26" s="230">
        <f>+VLOOKUP($B26,'Bảng thông tin'!$B$4:$R$1002,13,0)</f>
        <v>400000</v>
      </c>
      <c r="N26" s="221">
        <f>+VLOOKUP($B26,'Bảng thông tin'!$B$4:$R$1002,14,0)</f>
        <v>9200000</v>
      </c>
      <c r="O26" s="222">
        <f>VLOOKUP($B26,BCC!$B$11:$AN$1032,35,0)</f>
        <v>25</v>
      </c>
      <c r="P26" s="222">
        <f>VLOOKUP($B26,BCC!$B$11:$AN$1032,38,0)+VLOOKUP($B26,BCC!$B$11:$AN$1032,39,0)</f>
        <v>1</v>
      </c>
      <c r="Q26" s="223">
        <f t="shared" si="50"/>
        <v>269230.76923076925</v>
      </c>
      <c r="R26" s="222">
        <f>VLOOKUP($B26,BCC!$B$11:$AN$1032,36,0)</f>
        <v>21.075999999999997</v>
      </c>
      <c r="S26" s="223">
        <f t="shared" si="4"/>
        <v>1063933</v>
      </c>
      <c r="T26" s="222">
        <f>VLOOKUP($B26,BCC!$B$11:$AN$1032,37,0)</f>
        <v>0</v>
      </c>
      <c r="U26" s="223">
        <f t="shared" si="5"/>
        <v>0</v>
      </c>
      <c r="V26" s="306">
        <f t="shared" si="6"/>
        <v>6250000</v>
      </c>
      <c r="W26" s="306">
        <f t="shared" si="0"/>
        <v>480769.23076923075</v>
      </c>
      <c r="X26" s="223">
        <f t="shared" si="31"/>
        <v>961538.4615384615</v>
      </c>
      <c r="Y26" s="223">
        <f t="shared" si="7"/>
        <v>480769.23076923075</v>
      </c>
      <c r="Z26" s="223">
        <f t="shared" si="32"/>
        <v>288461.5384615385</v>
      </c>
      <c r="AA26" s="223">
        <f t="shared" si="8"/>
        <v>400000</v>
      </c>
      <c r="AB26" s="223">
        <f>VLOOKUP($B26,'Bảng thông tin'!$B:$R,15,0)+VLOOKUP(B26,'Bảng thông tin'!$B:$Q,16,0)</f>
        <v>0</v>
      </c>
      <c r="AC26" s="223">
        <f t="shared" si="9"/>
        <v>10194702.230769232</v>
      </c>
      <c r="AD26" s="223">
        <f t="shared" si="10"/>
        <v>961538.4615384615</v>
      </c>
      <c r="AE26" s="223">
        <f t="shared" si="11"/>
        <v>288461.5384615385</v>
      </c>
      <c r="AF26" s="223">
        <f t="shared" si="12"/>
        <v>400000</v>
      </c>
      <c r="AG26" s="223">
        <f t="shared" si="13"/>
        <v>1063933</v>
      </c>
      <c r="AH26" s="223">
        <f t="shared" si="14"/>
        <v>2713933</v>
      </c>
      <c r="AI26" s="223">
        <f t="shared" si="15"/>
        <v>1190000</v>
      </c>
      <c r="AJ26" s="223">
        <f t="shared" si="16"/>
        <v>210000</v>
      </c>
      <c r="AK26" s="223">
        <f t="shared" si="17"/>
        <v>70000</v>
      </c>
      <c r="AL26" s="223">
        <f t="shared" si="18"/>
        <v>35000</v>
      </c>
      <c r="AM26" s="185">
        <f t="shared" si="19"/>
        <v>1505000</v>
      </c>
      <c r="AN26" s="223">
        <f t="shared" si="1"/>
        <v>140000</v>
      </c>
      <c r="AO26" s="223">
        <f t="shared" si="20"/>
        <v>560000</v>
      </c>
      <c r="AP26" s="223">
        <f t="shared" si="21"/>
        <v>105000</v>
      </c>
      <c r="AQ26" s="223">
        <f t="shared" si="22"/>
        <v>70000</v>
      </c>
      <c r="AR26" s="185">
        <f t="shared" si="23"/>
        <v>735000</v>
      </c>
      <c r="AS26" s="223">
        <f t="shared" si="24"/>
        <v>0</v>
      </c>
      <c r="AT26" s="223">
        <f t="shared" si="25"/>
        <v>15500000</v>
      </c>
      <c r="AU26" s="223"/>
      <c r="AV26" s="223">
        <f t="shared" si="26"/>
        <v>0</v>
      </c>
      <c r="AW26" s="223">
        <f t="shared" si="27"/>
        <v>15500000</v>
      </c>
      <c r="AX26" s="223">
        <f t="shared" si="28"/>
        <v>7480769</v>
      </c>
      <c r="AY26" s="223">
        <f t="shared" si="29"/>
        <v>0</v>
      </c>
      <c r="AZ26" s="223">
        <f t="shared" si="2"/>
        <v>0</v>
      </c>
      <c r="BA26" s="223">
        <f>+VLOOKUP($B26,'Bảng thông tin'!$B:$R,16,0)</f>
        <v>0</v>
      </c>
      <c r="BB26" s="335">
        <f t="shared" si="30"/>
        <v>9459702</v>
      </c>
      <c r="BD26" s="359"/>
    </row>
    <row r="27" spans="1:57" s="224" customFormat="1" ht="20.25" customHeight="1" x14ac:dyDescent="0.25">
      <c r="A27" s="219">
        <v>24</v>
      </c>
      <c r="B27" s="262" t="s">
        <v>41</v>
      </c>
      <c r="C27" s="258" t="str">
        <f>+VLOOKUP($B27,'Bảng thông tin'!$B$4:$R$1002,2,0)</f>
        <v>Đặng Thu Sương</v>
      </c>
      <c r="D27" s="219" t="str">
        <f>+VLOOKUP($B27,'Bảng thông tin'!$B$4:$R$1002,3,0)</f>
        <v>HĐLĐ</v>
      </c>
      <c r="E27" s="225" t="s">
        <v>54</v>
      </c>
      <c r="F27" s="226" t="s">
        <v>59</v>
      </c>
      <c r="G27" s="221">
        <f>+VLOOKUP($B27,'Bảng thông tin'!$B$4:$R$1002,7,0)</f>
        <v>7000000</v>
      </c>
      <c r="H27" s="221">
        <f>+VLOOKUP($B27,'Bảng thông tin'!$B$4:$R$1002,8,0)</f>
        <v>6500000</v>
      </c>
      <c r="I27" s="221">
        <f>+VLOOKUP($B27,'Bảng thông tin'!$B$4:$R$1002,9,0)</f>
        <v>500000</v>
      </c>
      <c r="J27" s="221">
        <f>+VLOOKUP($B27,'Bảng thông tin'!$B$4:$R$1002,10,0)</f>
        <v>1000000</v>
      </c>
      <c r="K27" s="221">
        <f>+VLOOKUP($B27,'Bảng thông tin'!$B$4:$R$1002,11,0)</f>
        <v>500000</v>
      </c>
      <c r="L27" s="221">
        <f>+VLOOKUP($B27,'Bảng thông tin'!$B$4:$R$1002,12,0)</f>
        <v>300000</v>
      </c>
      <c r="M27" s="230">
        <f>+VLOOKUP($B27,'Bảng thông tin'!$B$4:$R$1002,13,0)</f>
        <v>400000</v>
      </c>
      <c r="N27" s="221">
        <f>+VLOOKUP($B27,'Bảng thông tin'!$B$4:$R$1002,14,0)</f>
        <v>9200000</v>
      </c>
      <c r="O27" s="222">
        <f>VLOOKUP($B27,BCC!$B$11:$AN$1032,35,0)</f>
        <v>26</v>
      </c>
      <c r="P27" s="222">
        <f>VLOOKUP($B27,BCC!$B$11:$AN$1032,38,0)+VLOOKUP($B27,BCC!$B$11:$AN$1032,39,0)</f>
        <v>0</v>
      </c>
      <c r="Q27" s="223">
        <f t="shared" si="50"/>
        <v>0</v>
      </c>
      <c r="R27" s="222">
        <f>VLOOKUP($B27,BCC!$B$11:$AN$1032,36,0)</f>
        <v>10.690000000000001</v>
      </c>
      <c r="S27" s="223">
        <f t="shared" si="4"/>
        <v>539639</v>
      </c>
      <c r="T27" s="222">
        <f>VLOOKUP($B27,BCC!$B$11:$AN$1032,37,0)</f>
        <v>0</v>
      </c>
      <c r="U27" s="223">
        <f t="shared" si="5"/>
        <v>0</v>
      </c>
      <c r="V27" s="306">
        <f t="shared" si="6"/>
        <v>6500000</v>
      </c>
      <c r="W27" s="306">
        <f t="shared" si="0"/>
        <v>500000</v>
      </c>
      <c r="X27" s="223">
        <f t="shared" si="31"/>
        <v>1000000</v>
      </c>
      <c r="Y27" s="223">
        <f t="shared" si="7"/>
        <v>500000</v>
      </c>
      <c r="Z27" s="223">
        <f t="shared" si="32"/>
        <v>300000</v>
      </c>
      <c r="AA27" s="223">
        <f t="shared" si="8"/>
        <v>400000</v>
      </c>
      <c r="AB27" s="223">
        <f>VLOOKUP($B27,'Bảng thông tin'!$B:$R,15,0)+VLOOKUP(B27,'Bảng thông tin'!$B:$Q,16,0)</f>
        <v>0</v>
      </c>
      <c r="AC27" s="223">
        <f t="shared" si="9"/>
        <v>9739639</v>
      </c>
      <c r="AD27" s="223">
        <f t="shared" si="10"/>
        <v>1000000</v>
      </c>
      <c r="AE27" s="223">
        <f t="shared" si="11"/>
        <v>300000</v>
      </c>
      <c r="AF27" s="223">
        <f t="shared" si="12"/>
        <v>400000</v>
      </c>
      <c r="AG27" s="223">
        <f t="shared" si="13"/>
        <v>539639</v>
      </c>
      <c r="AH27" s="223">
        <f t="shared" si="14"/>
        <v>2239639</v>
      </c>
      <c r="AI27" s="223">
        <f t="shared" si="15"/>
        <v>1190000</v>
      </c>
      <c r="AJ27" s="223">
        <f t="shared" si="16"/>
        <v>210000</v>
      </c>
      <c r="AK27" s="223">
        <f t="shared" si="17"/>
        <v>70000</v>
      </c>
      <c r="AL27" s="223">
        <f t="shared" si="18"/>
        <v>35000</v>
      </c>
      <c r="AM27" s="185">
        <f t="shared" si="19"/>
        <v>1505000</v>
      </c>
      <c r="AN27" s="223">
        <f t="shared" si="1"/>
        <v>140000</v>
      </c>
      <c r="AO27" s="223">
        <f t="shared" si="20"/>
        <v>560000</v>
      </c>
      <c r="AP27" s="223">
        <f t="shared" si="21"/>
        <v>105000</v>
      </c>
      <c r="AQ27" s="223">
        <f t="shared" si="22"/>
        <v>70000</v>
      </c>
      <c r="AR27" s="185">
        <f t="shared" si="23"/>
        <v>735000</v>
      </c>
      <c r="AS27" s="223">
        <f t="shared" si="24"/>
        <v>0</v>
      </c>
      <c r="AT27" s="223">
        <f t="shared" si="25"/>
        <v>15500000</v>
      </c>
      <c r="AU27" s="223"/>
      <c r="AV27" s="223">
        <f t="shared" si="26"/>
        <v>0</v>
      </c>
      <c r="AW27" s="223">
        <f t="shared" si="27"/>
        <v>15500000</v>
      </c>
      <c r="AX27" s="223">
        <f t="shared" si="28"/>
        <v>7500000</v>
      </c>
      <c r="AY27" s="223">
        <f t="shared" si="29"/>
        <v>0</v>
      </c>
      <c r="AZ27" s="223">
        <f t="shared" si="2"/>
        <v>0</v>
      </c>
      <c r="BA27" s="223">
        <f>+VLOOKUP($B27,'Bảng thông tin'!$B:$R,16,0)</f>
        <v>0</v>
      </c>
      <c r="BB27" s="335">
        <f t="shared" si="30"/>
        <v>9004639</v>
      </c>
      <c r="BD27" s="359"/>
    </row>
    <row r="28" spans="1:57" s="224" customFormat="1" ht="20.25" customHeight="1" x14ac:dyDescent="0.25">
      <c r="A28" s="219">
        <v>25</v>
      </c>
      <c r="B28" s="262" t="s">
        <v>182</v>
      </c>
      <c r="C28" s="258" t="str">
        <f>+VLOOKUP($B28,'Bảng thông tin'!$B$4:$R$1002,2,0)</f>
        <v>Ngô Hồng Thắm</v>
      </c>
      <c r="D28" s="219" t="str">
        <f>+VLOOKUP($B28,'Bảng thông tin'!$B$4:$R$1002,3,0)</f>
        <v>HĐLĐ</v>
      </c>
      <c r="E28" s="225" t="s">
        <v>54</v>
      </c>
      <c r="F28" s="226" t="s">
        <v>59</v>
      </c>
      <c r="G28" s="221">
        <f>+VLOOKUP($B28,'Bảng thông tin'!$B$4:$R$1002,7,0)</f>
        <v>7000000</v>
      </c>
      <c r="H28" s="221">
        <f>+VLOOKUP($B28,'Bảng thông tin'!$B$4:$R$1002,8,0)</f>
        <v>6500000</v>
      </c>
      <c r="I28" s="221">
        <f>+VLOOKUP($B28,'Bảng thông tin'!$B$4:$R$1002,9,0)</f>
        <v>500000</v>
      </c>
      <c r="J28" s="221">
        <f>+VLOOKUP($B28,'Bảng thông tin'!$B$4:$R$1002,10,0)</f>
        <v>1000000</v>
      </c>
      <c r="K28" s="221">
        <f>+VLOOKUP($B28,'Bảng thông tin'!$B$4:$R$1002,11,0)</f>
        <v>500000</v>
      </c>
      <c r="L28" s="221">
        <f>+VLOOKUP($B28,'Bảng thông tin'!$B$4:$R$1002,12,0)</f>
        <v>300000</v>
      </c>
      <c r="M28" s="230">
        <f>+VLOOKUP($B28,'Bảng thông tin'!$B$4:$R$1002,13,0)</f>
        <v>400000</v>
      </c>
      <c r="N28" s="221">
        <f>+VLOOKUP($B28,'Bảng thông tin'!$B$4:$R$1002,14,0)</f>
        <v>9200000</v>
      </c>
      <c r="O28" s="222">
        <f>VLOOKUP($B28,BCC!$B$11:$AN$1032,35,0)</f>
        <v>26</v>
      </c>
      <c r="P28" s="222">
        <f>VLOOKUP($B28,BCC!$B$11:$AN$1032,38,0)+VLOOKUP($B28,BCC!$B$11:$AN$1032,39,0)</f>
        <v>0</v>
      </c>
      <c r="Q28" s="223">
        <f t="shared" si="50"/>
        <v>0</v>
      </c>
      <c r="R28" s="222">
        <f>VLOOKUP($B28,BCC!$B$11:$AN$1032,36,0)</f>
        <v>19.649999999999999</v>
      </c>
      <c r="S28" s="223">
        <f t="shared" si="4"/>
        <v>991947</v>
      </c>
      <c r="T28" s="222">
        <f>VLOOKUP($B28,BCC!$B$11:$AN$1032,37,0)</f>
        <v>0</v>
      </c>
      <c r="U28" s="223">
        <f t="shared" si="5"/>
        <v>0</v>
      </c>
      <c r="V28" s="306">
        <f t="shared" si="6"/>
        <v>6500000</v>
      </c>
      <c r="W28" s="306">
        <f t="shared" si="0"/>
        <v>500000</v>
      </c>
      <c r="X28" s="223">
        <f t="shared" si="31"/>
        <v>1000000</v>
      </c>
      <c r="Y28" s="223">
        <f t="shared" si="7"/>
        <v>500000</v>
      </c>
      <c r="Z28" s="223">
        <f t="shared" si="32"/>
        <v>300000</v>
      </c>
      <c r="AA28" s="223">
        <f t="shared" si="8"/>
        <v>400000</v>
      </c>
      <c r="AB28" s="223">
        <f>VLOOKUP($B28,'Bảng thông tin'!$B:$R,15,0)+VLOOKUP(B28,'Bảng thông tin'!$B:$Q,16,0)</f>
        <v>0</v>
      </c>
      <c r="AC28" s="223">
        <f t="shared" si="9"/>
        <v>10191947</v>
      </c>
      <c r="AD28" s="223">
        <f t="shared" si="10"/>
        <v>1000000</v>
      </c>
      <c r="AE28" s="223">
        <f t="shared" si="11"/>
        <v>300000</v>
      </c>
      <c r="AF28" s="223">
        <f t="shared" si="12"/>
        <v>400000</v>
      </c>
      <c r="AG28" s="223">
        <f t="shared" si="13"/>
        <v>991947</v>
      </c>
      <c r="AH28" s="223">
        <f t="shared" si="14"/>
        <v>2691947</v>
      </c>
      <c r="AI28" s="223">
        <f t="shared" si="15"/>
        <v>1190000</v>
      </c>
      <c r="AJ28" s="223">
        <f t="shared" si="16"/>
        <v>210000</v>
      </c>
      <c r="AK28" s="223">
        <f t="shared" si="17"/>
        <v>70000</v>
      </c>
      <c r="AL28" s="223">
        <f t="shared" si="18"/>
        <v>35000</v>
      </c>
      <c r="AM28" s="185">
        <f t="shared" si="19"/>
        <v>1505000</v>
      </c>
      <c r="AN28" s="223">
        <f t="shared" si="1"/>
        <v>140000</v>
      </c>
      <c r="AO28" s="223">
        <f t="shared" si="20"/>
        <v>560000</v>
      </c>
      <c r="AP28" s="223">
        <f t="shared" si="21"/>
        <v>105000</v>
      </c>
      <c r="AQ28" s="223">
        <f t="shared" si="22"/>
        <v>70000</v>
      </c>
      <c r="AR28" s="185">
        <f t="shared" si="23"/>
        <v>735000</v>
      </c>
      <c r="AS28" s="223">
        <f t="shared" si="24"/>
        <v>0</v>
      </c>
      <c r="AT28" s="223">
        <f t="shared" si="25"/>
        <v>15500000</v>
      </c>
      <c r="AU28" s="223"/>
      <c r="AV28" s="223">
        <f t="shared" si="26"/>
        <v>0</v>
      </c>
      <c r="AW28" s="223">
        <f t="shared" si="27"/>
        <v>15500000</v>
      </c>
      <c r="AX28" s="223">
        <f t="shared" si="28"/>
        <v>7500000</v>
      </c>
      <c r="AY28" s="223">
        <f t="shared" si="29"/>
        <v>0</v>
      </c>
      <c r="AZ28" s="223">
        <f t="shared" si="2"/>
        <v>0</v>
      </c>
      <c r="BA28" s="223">
        <f>+VLOOKUP($B28,'Bảng thông tin'!$B:$R,16,0)</f>
        <v>0</v>
      </c>
      <c r="BB28" s="335">
        <f t="shared" si="30"/>
        <v>9456947</v>
      </c>
    </row>
    <row r="29" spans="1:57" s="224" customFormat="1" ht="20.25" customHeight="1" x14ac:dyDescent="0.25">
      <c r="A29" s="219">
        <v>26</v>
      </c>
      <c r="B29" s="262" t="s">
        <v>183</v>
      </c>
      <c r="C29" s="258" t="str">
        <f>+VLOOKUP($B29,'Bảng thông tin'!$B$4:$R$1002,2,0)</f>
        <v>Trần Thị Tú Anh</v>
      </c>
      <c r="D29" s="219" t="str">
        <f>+VLOOKUP($B29,'Bảng thông tin'!$B$4:$R$1002,3,0)</f>
        <v>HĐLĐ</v>
      </c>
      <c r="E29" s="225" t="s">
        <v>54</v>
      </c>
      <c r="F29" s="226" t="s">
        <v>59</v>
      </c>
      <c r="G29" s="221">
        <f>+VLOOKUP($B29,'Bảng thông tin'!$B$4:$R$1002,7,0)</f>
        <v>7000000</v>
      </c>
      <c r="H29" s="221">
        <f>+VLOOKUP($B29,'Bảng thông tin'!$B$4:$R$1002,8,0)</f>
        <v>6500000</v>
      </c>
      <c r="I29" s="221">
        <f>+VLOOKUP($B29,'Bảng thông tin'!$B$4:$R$1002,9,0)</f>
        <v>500000</v>
      </c>
      <c r="J29" s="221">
        <f>+VLOOKUP($B29,'Bảng thông tin'!$B$4:$R$1002,10,0)</f>
        <v>1000000</v>
      </c>
      <c r="K29" s="221">
        <f>+VLOOKUP($B29,'Bảng thông tin'!$B$4:$R$1002,11,0)</f>
        <v>500000</v>
      </c>
      <c r="L29" s="221">
        <f>+VLOOKUP($B29,'Bảng thông tin'!$B$4:$R$1002,12,0)</f>
        <v>300000</v>
      </c>
      <c r="M29" s="230">
        <f>+VLOOKUP($B29,'Bảng thông tin'!$B$4:$R$1002,13,0)</f>
        <v>400000</v>
      </c>
      <c r="N29" s="221">
        <f>+VLOOKUP($B29,'Bảng thông tin'!$B$4:$R$1002,14,0)</f>
        <v>9200000</v>
      </c>
      <c r="O29" s="222">
        <f>VLOOKUP($B29,BCC!$B$11:$AN$1032,35,0)</f>
        <v>23</v>
      </c>
      <c r="P29" s="222">
        <f>VLOOKUP($B29,BCC!$B$11:$AN$1032,38,0)+VLOOKUP($B29,BCC!$B$11:$AN$1032,39,0)</f>
        <v>3</v>
      </c>
      <c r="Q29" s="223">
        <f t="shared" si="50"/>
        <v>807692.30769230775</v>
      </c>
      <c r="R29" s="222">
        <f>VLOOKUP($B29,BCC!$B$11:$AN$1032,36,0)</f>
        <v>36.620000000000005</v>
      </c>
      <c r="S29" s="223">
        <f t="shared" si="4"/>
        <v>1848606</v>
      </c>
      <c r="T29" s="222">
        <f>VLOOKUP($B29,BCC!$B$11:$AN$1032,37,0)</f>
        <v>0</v>
      </c>
      <c r="U29" s="223">
        <f t="shared" si="5"/>
        <v>0</v>
      </c>
      <c r="V29" s="306">
        <f t="shared" si="6"/>
        <v>5750000</v>
      </c>
      <c r="W29" s="306">
        <f t="shared" si="0"/>
        <v>442307.69230769231</v>
      </c>
      <c r="X29" s="223">
        <f t="shared" si="31"/>
        <v>884615.38461538462</v>
      </c>
      <c r="Y29" s="223">
        <f t="shared" si="7"/>
        <v>442307.69230769231</v>
      </c>
      <c r="Z29" s="223">
        <f t="shared" si="32"/>
        <v>265384.61538461538</v>
      </c>
      <c r="AA29" s="223">
        <f t="shared" si="8"/>
        <v>400000</v>
      </c>
      <c r="AB29" s="223">
        <f>VLOOKUP($B29,'Bảng thông tin'!$B:$R,15,0)+VLOOKUP(B29,'Bảng thông tin'!$B:$Q,16,0)</f>
        <v>0</v>
      </c>
      <c r="AC29" s="223">
        <f t="shared" si="9"/>
        <v>10840913.692307692</v>
      </c>
      <c r="AD29" s="223">
        <f t="shared" si="10"/>
        <v>884615.38461538462</v>
      </c>
      <c r="AE29" s="223">
        <f t="shared" si="11"/>
        <v>265384.61538461538</v>
      </c>
      <c r="AF29" s="223">
        <f t="shared" si="12"/>
        <v>400000</v>
      </c>
      <c r="AG29" s="223">
        <f t="shared" si="13"/>
        <v>1848606</v>
      </c>
      <c r="AH29" s="223">
        <f t="shared" si="14"/>
        <v>3398606</v>
      </c>
      <c r="AI29" s="223">
        <f t="shared" si="15"/>
        <v>1190000</v>
      </c>
      <c r="AJ29" s="223">
        <f t="shared" si="16"/>
        <v>210000</v>
      </c>
      <c r="AK29" s="223">
        <f t="shared" si="17"/>
        <v>70000</v>
      </c>
      <c r="AL29" s="223">
        <f t="shared" si="18"/>
        <v>35000</v>
      </c>
      <c r="AM29" s="185">
        <f t="shared" si="19"/>
        <v>1505000</v>
      </c>
      <c r="AN29" s="223">
        <f t="shared" si="1"/>
        <v>140000</v>
      </c>
      <c r="AO29" s="223">
        <f t="shared" si="20"/>
        <v>560000</v>
      </c>
      <c r="AP29" s="223">
        <f t="shared" si="21"/>
        <v>105000</v>
      </c>
      <c r="AQ29" s="223">
        <f t="shared" si="22"/>
        <v>70000</v>
      </c>
      <c r="AR29" s="185">
        <f t="shared" si="23"/>
        <v>735000</v>
      </c>
      <c r="AS29" s="223">
        <f t="shared" si="24"/>
        <v>0</v>
      </c>
      <c r="AT29" s="223">
        <f t="shared" si="25"/>
        <v>15500000</v>
      </c>
      <c r="AU29" s="223"/>
      <c r="AV29" s="223">
        <f t="shared" si="26"/>
        <v>0</v>
      </c>
      <c r="AW29" s="223">
        <f t="shared" si="27"/>
        <v>15500000</v>
      </c>
      <c r="AX29" s="223">
        <f t="shared" si="28"/>
        <v>7442308</v>
      </c>
      <c r="AY29" s="223">
        <f t="shared" si="29"/>
        <v>0</v>
      </c>
      <c r="AZ29" s="223">
        <f t="shared" si="2"/>
        <v>0</v>
      </c>
      <c r="BA29" s="223">
        <f>+VLOOKUP($B29,'Bảng thông tin'!$B:$R,16,0)</f>
        <v>0</v>
      </c>
      <c r="BB29" s="335">
        <f t="shared" si="30"/>
        <v>10105914</v>
      </c>
    </row>
    <row r="30" spans="1:57" s="228" customFormat="1" ht="20.25" customHeight="1" x14ac:dyDescent="0.25">
      <c r="A30" s="219">
        <v>27</v>
      </c>
      <c r="B30" s="229" t="s">
        <v>222</v>
      </c>
      <c r="C30" s="258" t="str">
        <f>+VLOOKUP($B30,'Bảng thông tin'!$B$4:$R$1002,2,0)</f>
        <v>Trần Ái Nhi</v>
      </c>
      <c r="D30" s="219" t="str">
        <f>+VLOOKUP($B30,'Bảng thông tin'!$B$4:$R$1002,3,0)</f>
        <v>HĐLĐ</v>
      </c>
      <c r="E30" s="227" t="s">
        <v>54</v>
      </c>
      <c r="F30" s="226" t="s">
        <v>59</v>
      </c>
      <c r="G30" s="221">
        <f>+VLOOKUP($B30,'Bảng thông tin'!$B$4:$R$1002,7,0)</f>
        <v>7000000</v>
      </c>
      <c r="H30" s="221">
        <f>+VLOOKUP($B30,'Bảng thông tin'!$B$4:$R$1002,8,0)</f>
        <v>6500000</v>
      </c>
      <c r="I30" s="221">
        <f>+VLOOKUP($B30,'Bảng thông tin'!$B$4:$R$1002,9,0)</f>
        <v>500000</v>
      </c>
      <c r="J30" s="221">
        <f>+VLOOKUP($B30,'Bảng thông tin'!$B$4:$R$1002,10,0)</f>
        <v>1000000</v>
      </c>
      <c r="K30" s="221">
        <f>+VLOOKUP($B30,'Bảng thông tin'!$B$4:$R$1002,11,0)</f>
        <v>500000</v>
      </c>
      <c r="L30" s="221">
        <f>+VLOOKUP($B30,'Bảng thông tin'!$B$4:$R$1002,12,0)</f>
        <v>300000</v>
      </c>
      <c r="M30" s="230">
        <f>+VLOOKUP($B30,'Bảng thông tin'!$B$4:$R$1002,13,0)</f>
        <v>400000</v>
      </c>
      <c r="N30" s="221">
        <f>+VLOOKUP($B30,'Bảng thông tin'!$B$4:$R$1002,14,0)</f>
        <v>9200000</v>
      </c>
      <c r="O30" s="222">
        <f>VLOOKUP($B30,BCC!$B$11:$AN$1032,35,0)</f>
        <v>24</v>
      </c>
      <c r="P30" s="222">
        <f>VLOOKUP($B30,BCC!$B$11:$AN$1032,38,0)+VLOOKUP($B30,BCC!$B$11:$AN$1032,39,0)</f>
        <v>2</v>
      </c>
      <c r="Q30" s="223">
        <f t="shared" si="50"/>
        <v>538461.5384615385</v>
      </c>
      <c r="R30" s="222">
        <f>VLOOKUP($B30,BCC!$B$11:$AN$1032,36,0)</f>
        <v>38.599999999999994</v>
      </c>
      <c r="S30" s="223">
        <f t="shared" si="4"/>
        <v>1948558</v>
      </c>
      <c r="T30" s="222">
        <f>VLOOKUP($B30,BCC!$B$11:$AN$1032,37,0)</f>
        <v>0</v>
      </c>
      <c r="U30" s="223">
        <f t="shared" si="5"/>
        <v>0</v>
      </c>
      <c r="V30" s="306">
        <f t="shared" si="6"/>
        <v>6000000</v>
      </c>
      <c r="W30" s="306">
        <f t="shared" si="0"/>
        <v>461538.4615384615</v>
      </c>
      <c r="X30" s="223">
        <f t="shared" si="31"/>
        <v>923076.92307692301</v>
      </c>
      <c r="Y30" s="223">
        <f t="shared" si="7"/>
        <v>461538.4615384615</v>
      </c>
      <c r="Z30" s="223">
        <f t="shared" si="32"/>
        <v>276923.07692307694</v>
      </c>
      <c r="AA30" s="223">
        <f t="shared" si="8"/>
        <v>400000</v>
      </c>
      <c r="AB30" s="223">
        <f>VLOOKUP($B30,'Bảng thông tin'!$B:$R,15,0)+VLOOKUP(B30,'Bảng thông tin'!$B:$Q,16,0)</f>
        <v>0</v>
      </c>
      <c r="AC30" s="223">
        <f t="shared" si="9"/>
        <v>11010096.461538462</v>
      </c>
      <c r="AD30" s="223">
        <f t="shared" si="10"/>
        <v>923076.92307692301</v>
      </c>
      <c r="AE30" s="223">
        <f t="shared" si="11"/>
        <v>276923.07692307694</v>
      </c>
      <c r="AF30" s="223">
        <f t="shared" si="12"/>
        <v>400000</v>
      </c>
      <c r="AG30" s="223">
        <f t="shared" si="13"/>
        <v>1948558</v>
      </c>
      <c r="AH30" s="223">
        <f t="shared" si="14"/>
        <v>3548558</v>
      </c>
      <c r="AI30" s="223">
        <f t="shared" si="15"/>
        <v>1190000</v>
      </c>
      <c r="AJ30" s="223">
        <f t="shared" si="16"/>
        <v>210000</v>
      </c>
      <c r="AK30" s="223">
        <f t="shared" si="17"/>
        <v>70000</v>
      </c>
      <c r="AL30" s="223">
        <f t="shared" si="18"/>
        <v>35000</v>
      </c>
      <c r="AM30" s="185">
        <f t="shared" si="19"/>
        <v>1505000</v>
      </c>
      <c r="AN30" s="223">
        <f t="shared" si="1"/>
        <v>140000</v>
      </c>
      <c r="AO30" s="223">
        <f t="shared" si="20"/>
        <v>560000</v>
      </c>
      <c r="AP30" s="223">
        <f t="shared" si="21"/>
        <v>105000</v>
      </c>
      <c r="AQ30" s="223">
        <f t="shared" si="22"/>
        <v>70000</v>
      </c>
      <c r="AR30" s="185">
        <f t="shared" si="23"/>
        <v>735000</v>
      </c>
      <c r="AS30" s="223">
        <f t="shared" si="24"/>
        <v>0</v>
      </c>
      <c r="AT30" s="223">
        <f t="shared" si="25"/>
        <v>15500000</v>
      </c>
      <c r="AU30" s="223"/>
      <c r="AV30" s="223">
        <f t="shared" si="26"/>
        <v>0</v>
      </c>
      <c r="AW30" s="223">
        <f t="shared" si="27"/>
        <v>15500000</v>
      </c>
      <c r="AX30" s="223">
        <f t="shared" si="28"/>
        <v>7461538</v>
      </c>
      <c r="AY30" s="223">
        <f t="shared" si="29"/>
        <v>0</v>
      </c>
      <c r="AZ30" s="223">
        <f t="shared" si="2"/>
        <v>0</v>
      </c>
      <c r="BA30" s="223">
        <f>+VLOOKUP($B30,'Bảng thông tin'!$B:$R,16,0)</f>
        <v>0</v>
      </c>
      <c r="BB30" s="335">
        <f t="shared" si="30"/>
        <v>10275096</v>
      </c>
    </row>
    <row r="31" spans="1:57" s="228" customFormat="1" ht="20.25" customHeight="1" x14ac:dyDescent="0.25">
      <c r="A31" s="219">
        <v>28</v>
      </c>
      <c r="B31" s="229" t="s">
        <v>223</v>
      </c>
      <c r="C31" s="258" t="str">
        <f>+VLOOKUP($B31,'Bảng thông tin'!$B$4:$R$1002,2,0)</f>
        <v>Vũ Thị Loan</v>
      </c>
      <c r="D31" s="219" t="str">
        <f>+VLOOKUP($B31,'Bảng thông tin'!$B$4:$R$1002,3,0)</f>
        <v>HĐLĐ</v>
      </c>
      <c r="E31" s="227" t="s">
        <v>54</v>
      </c>
      <c r="F31" s="226" t="s">
        <v>59</v>
      </c>
      <c r="G31" s="221">
        <f>+VLOOKUP($B31,'Bảng thông tin'!$B$4:$R$1002,7,0)</f>
        <v>7000000</v>
      </c>
      <c r="H31" s="221">
        <f>+VLOOKUP($B31,'Bảng thông tin'!$B$4:$R$1002,8,0)</f>
        <v>6500000</v>
      </c>
      <c r="I31" s="221">
        <f>+VLOOKUP($B31,'Bảng thông tin'!$B$4:$R$1002,9,0)</f>
        <v>500000</v>
      </c>
      <c r="J31" s="221">
        <f>+VLOOKUP($B31,'Bảng thông tin'!$B$4:$R$1002,10,0)</f>
        <v>1000000</v>
      </c>
      <c r="K31" s="221">
        <f>+VLOOKUP($B31,'Bảng thông tin'!$B$4:$R$1002,11,0)</f>
        <v>500000</v>
      </c>
      <c r="L31" s="221">
        <f>+VLOOKUP($B31,'Bảng thông tin'!$B$4:$R$1002,12,0)</f>
        <v>300000</v>
      </c>
      <c r="M31" s="230">
        <f>+VLOOKUP($B31,'Bảng thông tin'!$B$4:$R$1002,13,0)</f>
        <v>400000</v>
      </c>
      <c r="N31" s="221">
        <f>+VLOOKUP($B31,'Bảng thông tin'!$B$4:$R$1002,14,0)</f>
        <v>9200000</v>
      </c>
      <c r="O31" s="222">
        <f>VLOOKUP($B31,BCC!$B$11:$AN$1032,35,0)</f>
        <v>26</v>
      </c>
      <c r="P31" s="222">
        <f>VLOOKUP($B31,BCC!$B$11:$AN$1032,38,0)+VLOOKUP($B31,BCC!$B$11:$AN$1032,39,0)</f>
        <v>0</v>
      </c>
      <c r="Q31" s="223">
        <f t="shared" si="50"/>
        <v>0</v>
      </c>
      <c r="R31" s="222">
        <f>VLOOKUP($B31,BCC!$B$11:$AN$1032,36,0)</f>
        <v>15.38</v>
      </c>
      <c r="S31" s="223">
        <f t="shared" si="4"/>
        <v>776394</v>
      </c>
      <c r="T31" s="222">
        <f>VLOOKUP($B31,BCC!$B$11:$AN$1032,37,0)</f>
        <v>0</v>
      </c>
      <c r="U31" s="223">
        <f t="shared" si="5"/>
        <v>0</v>
      </c>
      <c r="V31" s="306">
        <f t="shared" si="6"/>
        <v>6500000</v>
      </c>
      <c r="W31" s="306">
        <f t="shared" si="0"/>
        <v>500000</v>
      </c>
      <c r="X31" s="223">
        <f t="shared" si="31"/>
        <v>1000000</v>
      </c>
      <c r="Y31" s="223">
        <f t="shared" si="7"/>
        <v>500000</v>
      </c>
      <c r="Z31" s="223">
        <f t="shared" si="32"/>
        <v>300000</v>
      </c>
      <c r="AA31" s="223">
        <f t="shared" si="8"/>
        <v>400000</v>
      </c>
      <c r="AB31" s="223">
        <f>VLOOKUP($B31,'Bảng thông tin'!$B:$R,15,0)+VLOOKUP(B31,'Bảng thông tin'!$B:$Q,16,0)</f>
        <v>300000</v>
      </c>
      <c r="AC31" s="223">
        <f>+SUM(V31:AB31)+Q31+S31+U31</f>
        <v>10276394</v>
      </c>
      <c r="AD31" s="223">
        <f t="shared" si="10"/>
        <v>1000000</v>
      </c>
      <c r="AE31" s="223">
        <f t="shared" si="11"/>
        <v>300000</v>
      </c>
      <c r="AF31" s="223">
        <f t="shared" si="12"/>
        <v>400000</v>
      </c>
      <c r="AG31" s="223">
        <f t="shared" si="13"/>
        <v>776394</v>
      </c>
      <c r="AH31" s="223">
        <f t="shared" si="14"/>
        <v>2476394</v>
      </c>
      <c r="AI31" s="223">
        <f t="shared" si="15"/>
        <v>1190000</v>
      </c>
      <c r="AJ31" s="223">
        <f t="shared" si="16"/>
        <v>210000</v>
      </c>
      <c r="AK31" s="223">
        <f t="shared" si="17"/>
        <v>70000</v>
      </c>
      <c r="AL31" s="223">
        <f t="shared" si="18"/>
        <v>35000</v>
      </c>
      <c r="AM31" s="185">
        <f t="shared" si="19"/>
        <v>1505000</v>
      </c>
      <c r="AN31" s="223">
        <f t="shared" si="1"/>
        <v>140000</v>
      </c>
      <c r="AO31" s="223">
        <f t="shared" si="20"/>
        <v>560000</v>
      </c>
      <c r="AP31" s="223">
        <f t="shared" si="21"/>
        <v>105000</v>
      </c>
      <c r="AQ31" s="223">
        <f t="shared" si="22"/>
        <v>70000</v>
      </c>
      <c r="AR31" s="185">
        <f t="shared" si="23"/>
        <v>735000</v>
      </c>
      <c r="AS31" s="223">
        <f t="shared" si="24"/>
        <v>0</v>
      </c>
      <c r="AT31" s="223">
        <f t="shared" si="25"/>
        <v>15500000</v>
      </c>
      <c r="AU31" s="223"/>
      <c r="AV31" s="223">
        <f t="shared" si="26"/>
        <v>0</v>
      </c>
      <c r="AW31" s="223">
        <f t="shared" si="27"/>
        <v>15500000</v>
      </c>
      <c r="AX31" s="223">
        <f t="shared" si="28"/>
        <v>7800000</v>
      </c>
      <c r="AY31" s="223">
        <f t="shared" si="29"/>
        <v>0</v>
      </c>
      <c r="AZ31" s="223">
        <f t="shared" si="2"/>
        <v>0</v>
      </c>
      <c r="BA31" s="223">
        <f>+VLOOKUP($B31,'Bảng thông tin'!$B:$R,16,0)</f>
        <v>0</v>
      </c>
      <c r="BB31" s="335">
        <f t="shared" si="30"/>
        <v>9541394</v>
      </c>
      <c r="BD31" s="358"/>
      <c r="BE31" s="358"/>
    </row>
    <row r="32" spans="1:57" s="228" customFormat="1" ht="20.25" customHeight="1" x14ac:dyDescent="0.25">
      <c r="A32" s="219">
        <v>29</v>
      </c>
      <c r="B32" s="229" t="s">
        <v>224</v>
      </c>
      <c r="C32" s="258" t="str">
        <f>+VLOOKUP($B32,'Bảng thông tin'!$B$4:$R$1002,2,0)</f>
        <v>Lê Các Anh</v>
      </c>
      <c r="D32" s="219" t="str">
        <f>+VLOOKUP($B32,'Bảng thông tin'!$B$4:$R$1002,3,0)</f>
        <v>HĐLĐ</v>
      </c>
      <c r="E32" s="227" t="s">
        <v>54</v>
      </c>
      <c r="F32" s="226" t="s">
        <v>59</v>
      </c>
      <c r="G32" s="221">
        <f>+VLOOKUP($B32,'Bảng thông tin'!$B$4:$R$1002,7,0)</f>
        <v>6500000</v>
      </c>
      <c r="H32" s="221">
        <f>+VLOOKUP($B32,'Bảng thông tin'!$B$4:$R$1002,8,0)</f>
        <v>6000000</v>
      </c>
      <c r="I32" s="221">
        <f>+VLOOKUP($B32,'Bảng thông tin'!$B$4:$R$1002,9,0)</f>
        <v>500000</v>
      </c>
      <c r="J32" s="221">
        <f>+VLOOKUP($B32,'Bảng thông tin'!$B$4:$R$1002,10,0)</f>
        <v>1000000</v>
      </c>
      <c r="K32" s="221">
        <f>+VLOOKUP($B32,'Bảng thông tin'!$B$4:$R$1002,11,0)</f>
        <v>500000</v>
      </c>
      <c r="L32" s="221">
        <f>+VLOOKUP($B32,'Bảng thông tin'!$B$4:$R$1002,12,0)</f>
        <v>300000</v>
      </c>
      <c r="M32" s="230">
        <f>+VLOOKUP($B32,'Bảng thông tin'!$B$4:$R$1002,13,0)</f>
        <v>400000</v>
      </c>
      <c r="N32" s="221">
        <f>+VLOOKUP($B32,'Bảng thông tin'!$B$4:$R$1002,14,0)</f>
        <v>8700000</v>
      </c>
      <c r="O32" s="222">
        <f>VLOOKUP($B32,BCC!$B$11:$AN$1032,35,0)</f>
        <v>21.5</v>
      </c>
      <c r="P32" s="222">
        <f>VLOOKUP($B32,BCC!$B$11:$AN$1032,38,0)+VLOOKUP($B32,BCC!$B$11:$AN$1032,39,0)</f>
        <v>0</v>
      </c>
      <c r="Q32" s="223">
        <f t="shared" si="50"/>
        <v>0</v>
      </c>
      <c r="R32" s="222">
        <f>VLOOKUP($B32,BCC!$B$11:$AN$1032,36,0)</f>
        <v>11.655000000000001</v>
      </c>
      <c r="S32" s="223">
        <f t="shared" si="4"/>
        <v>546328</v>
      </c>
      <c r="T32" s="222">
        <f>VLOOKUP($B32,BCC!$B$11:$AN$1032,37,0)</f>
        <v>0</v>
      </c>
      <c r="U32" s="223">
        <f t="shared" si="5"/>
        <v>0</v>
      </c>
      <c r="V32" s="306">
        <f t="shared" si="6"/>
        <v>4961538.461538462</v>
      </c>
      <c r="W32" s="306">
        <f t="shared" si="0"/>
        <v>413461.53846153844</v>
      </c>
      <c r="X32" s="223">
        <f t="shared" si="31"/>
        <v>826923.07692307688</v>
      </c>
      <c r="Y32" s="223">
        <f t="shared" si="7"/>
        <v>413461.53846153844</v>
      </c>
      <c r="Z32" s="223">
        <f t="shared" si="32"/>
        <v>248076.92307692309</v>
      </c>
      <c r="AA32" s="223">
        <f t="shared" si="8"/>
        <v>400000</v>
      </c>
      <c r="AB32" s="223">
        <f>VLOOKUP($B32,'Bảng thông tin'!$B:$R,15,0)+VLOOKUP(B32,'Bảng thông tin'!$B:$Q,16,0)</f>
        <v>0</v>
      </c>
      <c r="AC32" s="223">
        <f t="shared" si="9"/>
        <v>7809789.538461538</v>
      </c>
      <c r="AD32" s="223">
        <f t="shared" si="10"/>
        <v>826923.07692307688</v>
      </c>
      <c r="AE32" s="223">
        <f t="shared" si="11"/>
        <v>248076.92307692309</v>
      </c>
      <c r="AF32" s="223">
        <f t="shared" si="12"/>
        <v>400000</v>
      </c>
      <c r="AG32" s="223">
        <f t="shared" si="13"/>
        <v>546328</v>
      </c>
      <c r="AH32" s="223">
        <f t="shared" si="14"/>
        <v>2021328</v>
      </c>
      <c r="AI32" s="223">
        <f t="shared" si="15"/>
        <v>1105000</v>
      </c>
      <c r="AJ32" s="223">
        <f t="shared" si="16"/>
        <v>195000</v>
      </c>
      <c r="AK32" s="223">
        <f t="shared" si="17"/>
        <v>65000</v>
      </c>
      <c r="AL32" s="223">
        <f t="shared" si="18"/>
        <v>32500</v>
      </c>
      <c r="AM32" s="185">
        <f t="shared" si="19"/>
        <v>1397500</v>
      </c>
      <c r="AN32" s="223">
        <f t="shared" si="1"/>
        <v>130000</v>
      </c>
      <c r="AO32" s="223">
        <f t="shared" si="20"/>
        <v>520000</v>
      </c>
      <c r="AP32" s="223">
        <f t="shared" si="21"/>
        <v>97500</v>
      </c>
      <c r="AQ32" s="223">
        <f t="shared" si="22"/>
        <v>65000</v>
      </c>
      <c r="AR32" s="185">
        <f t="shared" si="23"/>
        <v>682500</v>
      </c>
      <c r="AS32" s="223">
        <f t="shared" si="24"/>
        <v>0</v>
      </c>
      <c r="AT32" s="223">
        <f t="shared" si="25"/>
        <v>15500000</v>
      </c>
      <c r="AU32" s="223"/>
      <c r="AV32" s="223">
        <f t="shared" si="26"/>
        <v>0</v>
      </c>
      <c r="AW32" s="223">
        <f t="shared" si="27"/>
        <v>15500000</v>
      </c>
      <c r="AX32" s="223">
        <f t="shared" si="28"/>
        <v>5788462</v>
      </c>
      <c r="AY32" s="223">
        <f t="shared" si="29"/>
        <v>0</v>
      </c>
      <c r="AZ32" s="223">
        <f t="shared" si="2"/>
        <v>0</v>
      </c>
      <c r="BA32" s="223">
        <f>+VLOOKUP($B32,'Bảng thông tin'!$B:$R,16,0)</f>
        <v>0</v>
      </c>
      <c r="BB32" s="335">
        <f t="shared" si="30"/>
        <v>7127290</v>
      </c>
      <c r="BD32" s="358"/>
    </row>
    <row r="33" spans="1:57" s="228" customFormat="1" ht="20.25" customHeight="1" x14ac:dyDescent="0.25">
      <c r="A33" s="219">
        <v>30</v>
      </c>
      <c r="B33" s="229" t="s">
        <v>225</v>
      </c>
      <c r="C33" s="258" t="str">
        <f>+VLOOKUP($B33,'Bảng thông tin'!$B$4:$R$1002,2,0)</f>
        <v>Nguyễn Ngọc Bích</v>
      </c>
      <c r="D33" s="219" t="str">
        <f>+VLOOKUP($B33,'Bảng thông tin'!$B$4:$R$1002,3,0)</f>
        <v>HĐLĐ</v>
      </c>
      <c r="E33" s="227" t="s">
        <v>54</v>
      </c>
      <c r="F33" s="226" t="s">
        <v>59</v>
      </c>
      <c r="G33" s="221">
        <f>+VLOOKUP($B33,'Bảng thông tin'!$B$4:$R$1002,7,0)</f>
        <v>6500000</v>
      </c>
      <c r="H33" s="221">
        <f>+VLOOKUP($B33,'Bảng thông tin'!$B$4:$R$1002,8,0)</f>
        <v>6000000</v>
      </c>
      <c r="I33" s="221">
        <f>+VLOOKUP($B33,'Bảng thông tin'!$B$4:$R$1002,9,0)</f>
        <v>500000</v>
      </c>
      <c r="J33" s="221">
        <f>+VLOOKUP($B33,'Bảng thông tin'!$B$4:$R$1002,10,0)</f>
        <v>1000000</v>
      </c>
      <c r="K33" s="221">
        <f>+VLOOKUP($B33,'Bảng thông tin'!$B$4:$R$1002,11,0)</f>
        <v>500000</v>
      </c>
      <c r="L33" s="221">
        <f>+VLOOKUP($B33,'Bảng thông tin'!$B$4:$R$1002,12,0)</f>
        <v>300000</v>
      </c>
      <c r="M33" s="230">
        <f>+VLOOKUP($B33,'Bảng thông tin'!$B$4:$R$1002,13,0)</f>
        <v>400000</v>
      </c>
      <c r="N33" s="221">
        <f>+VLOOKUP($B33,'Bảng thông tin'!$B$4:$R$1002,14,0)</f>
        <v>8700000</v>
      </c>
      <c r="O33" s="222">
        <f>VLOOKUP($B33,BCC!$B$11:$AN$1032,35,0)</f>
        <v>26</v>
      </c>
      <c r="P33" s="222">
        <f>VLOOKUP($B33,BCC!$B$11:$AN$1032,38,0)+VLOOKUP($B33,BCC!$B$11:$AN$1032,39,0)</f>
        <v>0</v>
      </c>
      <c r="Q33" s="223">
        <f t="shared" si="50"/>
        <v>0</v>
      </c>
      <c r="R33" s="222">
        <f>VLOOKUP($B33,BCC!$B$11:$AN$1032,36,0)</f>
        <v>7.83</v>
      </c>
      <c r="S33" s="223">
        <f t="shared" si="4"/>
        <v>367031</v>
      </c>
      <c r="T33" s="222">
        <f>VLOOKUP($B33,BCC!$B$11:$AN$1032,37,0)</f>
        <v>0</v>
      </c>
      <c r="U33" s="223">
        <f t="shared" si="5"/>
        <v>0</v>
      </c>
      <c r="V33" s="306">
        <f t="shared" si="6"/>
        <v>6000000</v>
      </c>
      <c r="W33" s="306">
        <f t="shared" si="0"/>
        <v>500000</v>
      </c>
      <c r="X33" s="223">
        <f t="shared" si="31"/>
        <v>1000000</v>
      </c>
      <c r="Y33" s="223">
        <f t="shared" si="7"/>
        <v>500000</v>
      </c>
      <c r="Z33" s="223">
        <f t="shared" si="32"/>
        <v>300000</v>
      </c>
      <c r="AA33" s="223">
        <f t="shared" si="8"/>
        <v>400000</v>
      </c>
      <c r="AB33" s="223">
        <f>VLOOKUP($B33,'Bảng thông tin'!$B:$R,15,0)+VLOOKUP(B33,'Bảng thông tin'!$B:$Q,16,0)</f>
        <v>0</v>
      </c>
      <c r="AC33" s="223">
        <f t="shared" si="9"/>
        <v>9067031</v>
      </c>
      <c r="AD33" s="223">
        <f t="shared" si="10"/>
        <v>1000000</v>
      </c>
      <c r="AE33" s="223">
        <f t="shared" si="11"/>
        <v>300000</v>
      </c>
      <c r="AF33" s="223">
        <f t="shared" si="12"/>
        <v>400000</v>
      </c>
      <c r="AG33" s="223">
        <f t="shared" si="13"/>
        <v>367031</v>
      </c>
      <c r="AH33" s="223">
        <f t="shared" si="14"/>
        <v>2067031</v>
      </c>
      <c r="AI33" s="223">
        <f t="shared" si="15"/>
        <v>1105000</v>
      </c>
      <c r="AJ33" s="223">
        <f t="shared" si="16"/>
        <v>195000</v>
      </c>
      <c r="AK33" s="223">
        <f t="shared" si="17"/>
        <v>65000</v>
      </c>
      <c r="AL33" s="223">
        <f t="shared" si="18"/>
        <v>32500</v>
      </c>
      <c r="AM33" s="185">
        <f t="shared" si="19"/>
        <v>1397500</v>
      </c>
      <c r="AN33" s="223">
        <f t="shared" si="1"/>
        <v>130000</v>
      </c>
      <c r="AO33" s="223">
        <f t="shared" si="20"/>
        <v>520000</v>
      </c>
      <c r="AP33" s="223">
        <f t="shared" si="21"/>
        <v>97500</v>
      </c>
      <c r="AQ33" s="223">
        <f t="shared" si="22"/>
        <v>65000</v>
      </c>
      <c r="AR33" s="185">
        <f t="shared" si="23"/>
        <v>682500</v>
      </c>
      <c r="AS33" s="223">
        <f t="shared" si="24"/>
        <v>0</v>
      </c>
      <c r="AT33" s="223">
        <f t="shared" si="25"/>
        <v>15500000</v>
      </c>
      <c r="AU33" s="223"/>
      <c r="AV33" s="223">
        <f t="shared" si="26"/>
        <v>0</v>
      </c>
      <c r="AW33" s="223">
        <f t="shared" si="27"/>
        <v>15500000</v>
      </c>
      <c r="AX33" s="223">
        <f t="shared" si="28"/>
        <v>7000000</v>
      </c>
      <c r="AY33" s="223">
        <f t="shared" si="29"/>
        <v>0</v>
      </c>
      <c r="AZ33" s="223">
        <f t="shared" si="2"/>
        <v>0</v>
      </c>
      <c r="BA33" s="223">
        <f>+VLOOKUP($B33,'Bảng thông tin'!$B:$R,16,0)</f>
        <v>0</v>
      </c>
      <c r="BB33" s="335">
        <f>ROUND(AC33-AZ33-AR33-AS33-BA33,0)</f>
        <v>8384531</v>
      </c>
      <c r="BC33" s="361"/>
      <c r="BD33" s="358"/>
    </row>
    <row r="34" spans="1:57" s="224" customFormat="1" ht="20.25" customHeight="1" x14ac:dyDescent="0.25">
      <c r="A34" s="219">
        <v>31</v>
      </c>
      <c r="B34" s="259" t="s">
        <v>171</v>
      </c>
      <c r="C34" s="258" t="str">
        <f>+VLOOKUP($B34,'Bảng thông tin'!$B$4:$R$1002,2,0)</f>
        <v>Trần Tuấn Kiệt</v>
      </c>
      <c r="D34" s="219" t="str">
        <f>+VLOOKUP($B34,'Bảng thông tin'!$B$4:$R$1002,3,0)</f>
        <v>HĐLĐ</v>
      </c>
      <c r="E34" s="225" t="s">
        <v>51</v>
      </c>
      <c r="F34" s="226" t="s">
        <v>200</v>
      </c>
      <c r="G34" s="221">
        <f>+VLOOKUP($B34,'Bảng thông tin'!$B$4:$R$1002,7,0)</f>
        <v>8500000</v>
      </c>
      <c r="H34" s="221">
        <f>+VLOOKUP($B34,'Bảng thông tin'!$B$4:$R$1002,8,0)</f>
        <v>7500000</v>
      </c>
      <c r="I34" s="221">
        <f>+VLOOKUP($B34,'Bảng thông tin'!$B$4:$R$1002,9,0)</f>
        <v>1000000</v>
      </c>
      <c r="J34" s="221">
        <f>+VLOOKUP($B34,'Bảng thông tin'!$B$4:$R$1002,10,0)</f>
        <v>1800000</v>
      </c>
      <c r="K34" s="221">
        <f>+VLOOKUP($B34,'Bảng thông tin'!$B$4:$R$1002,11,0)</f>
        <v>500000</v>
      </c>
      <c r="L34" s="221">
        <f>+VLOOKUP($B34,'Bảng thông tin'!$B$4:$R$1002,12,0)</f>
        <v>400000</v>
      </c>
      <c r="M34" s="230">
        <f>+VLOOKUP($B34,'Bảng thông tin'!$B$4:$R$1002,13,0)</f>
        <v>400000</v>
      </c>
      <c r="N34" s="221">
        <f>+VLOOKUP($B34,'Bảng thông tin'!$B$4:$R$1002,14,0)</f>
        <v>11600000</v>
      </c>
      <c r="O34" s="222">
        <f>VLOOKUP($B34,BCC!$B$11:$AN$1032,35,0)</f>
        <v>26</v>
      </c>
      <c r="P34" s="222">
        <f>VLOOKUP($B34,BCC!$B$11:$AN$1032,38,0)+VLOOKUP($B34,BCC!$B$11:$AN$1032,39,0)</f>
        <v>0</v>
      </c>
      <c r="Q34" s="223">
        <f t="shared" si="50"/>
        <v>0</v>
      </c>
      <c r="R34" s="222">
        <f>VLOOKUP($B34,BCC!$B$11:$AN$1032,36,0)</f>
        <v>16.739999999999998</v>
      </c>
      <c r="S34" s="223">
        <f t="shared" si="4"/>
        <v>1026130</v>
      </c>
      <c r="T34" s="222">
        <f>VLOOKUP($B34,BCC!$B$11:$AN$1032,37,0)</f>
        <v>0</v>
      </c>
      <c r="U34" s="223">
        <f t="shared" si="5"/>
        <v>0</v>
      </c>
      <c r="V34" s="306">
        <f t="shared" si="6"/>
        <v>7499999.9999999991</v>
      </c>
      <c r="W34" s="306">
        <f t="shared" si="0"/>
        <v>1000000</v>
      </c>
      <c r="X34" s="223">
        <f t="shared" si="31"/>
        <v>1800000</v>
      </c>
      <c r="Y34" s="223">
        <f t="shared" si="7"/>
        <v>500000</v>
      </c>
      <c r="Z34" s="223">
        <f t="shared" si="32"/>
        <v>400000</v>
      </c>
      <c r="AA34" s="223">
        <f t="shared" si="8"/>
        <v>400000</v>
      </c>
      <c r="AB34" s="223">
        <f>VLOOKUP($B34,'Bảng thông tin'!$B:$R,15,0)+VLOOKUP(B34,'Bảng thông tin'!$B:$Q,16,0)</f>
        <v>500000</v>
      </c>
      <c r="AC34" s="223">
        <f t="shared" si="9"/>
        <v>13126130</v>
      </c>
      <c r="AD34" s="223">
        <f t="shared" si="10"/>
        <v>1800000</v>
      </c>
      <c r="AE34" s="223">
        <f t="shared" si="11"/>
        <v>400000</v>
      </c>
      <c r="AF34" s="223">
        <f t="shared" si="12"/>
        <v>400000</v>
      </c>
      <c r="AG34" s="223">
        <f t="shared" si="13"/>
        <v>1026130</v>
      </c>
      <c r="AH34" s="223">
        <f t="shared" si="14"/>
        <v>3626130</v>
      </c>
      <c r="AI34" s="223">
        <f t="shared" si="15"/>
        <v>1445000</v>
      </c>
      <c r="AJ34" s="223">
        <f t="shared" si="16"/>
        <v>255000</v>
      </c>
      <c r="AK34" s="223">
        <f t="shared" si="17"/>
        <v>85000</v>
      </c>
      <c r="AL34" s="223">
        <f t="shared" si="18"/>
        <v>42500</v>
      </c>
      <c r="AM34" s="185">
        <f t="shared" si="19"/>
        <v>1827500</v>
      </c>
      <c r="AN34" s="223">
        <f t="shared" si="1"/>
        <v>170000</v>
      </c>
      <c r="AO34" s="223">
        <f t="shared" si="20"/>
        <v>680000</v>
      </c>
      <c r="AP34" s="223">
        <f t="shared" si="21"/>
        <v>127500</v>
      </c>
      <c r="AQ34" s="223">
        <f t="shared" si="22"/>
        <v>85000</v>
      </c>
      <c r="AR34" s="185">
        <f t="shared" si="23"/>
        <v>892500</v>
      </c>
      <c r="AS34" s="223">
        <f t="shared" si="24"/>
        <v>0</v>
      </c>
      <c r="AT34" s="223">
        <f t="shared" si="25"/>
        <v>15500000</v>
      </c>
      <c r="AU34" s="223"/>
      <c r="AV34" s="223">
        <f t="shared" si="26"/>
        <v>0</v>
      </c>
      <c r="AW34" s="223">
        <f t="shared" si="27"/>
        <v>15500000</v>
      </c>
      <c r="AX34" s="223">
        <f t="shared" si="28"/>
        <v>9500000</v>
      </c>
      <c r="AY34" s="223">
        <f t="shared" si="29"/>
        <v>0</v>
      </c>
      <c r="AZ34" s="223">
        <f t="shared" si="2"/>
        <v>0</v>
      </c>
      <c r="BA34" s="223">
        <f>+VLOOKUP($B34,'Bảng thông tin'!$B:$R,16,0)</f>
        <v>0</v>
      </c>
      <c r="BB34" s="335">
        <f t="shared" si="30"/>
        <v>12233630</v>
      </c>
    </row>
    <row r="35" spans="1:57" s="224" customFormat="1" ht="20.25" customHeight="1" x14ac:dyDescent="0.25">
      <c r="A35" s="219">
        <v>32</v>
      </c>
      <c r="B35" s="259" t="s">
        <v>43</v>
      </c>
      <c r="C35" s="258" t="str">
        <f>+VLOOKUP($B35,'Bảng thông tin'!$B$4:$R$1002,2,0)</f>
        <v>Trần Thị Thanh Dung</v>
      </c>
      <c r="D35" s="219" t="str">
        <f>+VLOOKUP($B35,'Bảng thông tin'!$B$4:$R$1002,3,0)</f>
        <v>HĐLĐ</v>
      </c>
      <c r="E35" s="225" t="s">
        <v>56</v>
      </c>
      <c r="F35" s="226" t="s">
        <v>57</v>
      </c>
      <c r="G35" s="221">
        <f>+VLOOKUP($B35,'Bảng thông tin'!$B$4:$R$1002,7,0)</f>
        <v>8500000</v>
      </c>
      <c r="H35" s="221">
        <f>+VLOOKUP($B35,'Bảng thông tin'!$B$4:$R$1002,8,0)</f>
        <v>7500000</v>
      </c>
      <c r="I35" s="221">
        <f>+VLOOKUP($B35,'Bảng thông tin'!$B$4:$R$1002,9,0)</f>
        <v>1000000</v>
      </c>
      <c r="J35" s="221">
        <f>+VLOOKUP($B35,'Bảng thông tin'!$B$4:$R$1002,10,0)</f>
        <v>1800000</v>
      </c>
      <c r="K35" s="221">
        <f>+VLOOKUP($B35,'Bảng thông tin'!$B$4:$R$1002,11,0)</f>
        <v>500000</v>
      </c>
      <c r="L35" s="221">
        <f>+VLOOKUP($B35,'Bảng thông tin'!$B$4:$R$1002,12,0)</f>
        <v>300000</v>
      </c>
      <c r="M35" s="230">
        <f>+VLOOKUP($B35,'Bảng thông tin'!$B$4:$R$1002,13,0)</f>
        <v>400000</v>
      </c>
      <c r="N35" s="221">
        <f>+VLOOKUP($B35,'Bảng thông tin'!$B$4:$R$1002,14,0)</f>
        <v>11500000</v>
      </c>
      <c r="O35" s="222">
        <f>VLOOKUP($B35,BCC!$B$11:$AN$1032,35,0)</f>
        <v>17</v>
      </c>
      <c r="P35" s="222">
        <f>VLOOKUP($B35,BCC!$B$11:$AN$1032,38,0)+VLOOKUP($B35,BCC!$B$11:$AN$1032,39,0)</f>
        <v>0</v>
      </c>
      <c r="Q35" s="223">
        <f t="shared" si="50"/>
        <v>0</v>
      </c>
      <c r="R35" s="222">
        <f>VLOOKUP($B35,BCC!$B$11:$AN$1032,36,0)</f>
        <v>0</v>
      </c>
      <c r="S35" s="223">
        <f t="shared" si="4"/>
        <v>0</v>
      </c>
      <c r="T35" s="222">
        <f>VLOOKUP($B35,BCC!$B$11:$AN$1032,37,0)</f>
        <v>0</v>
      </c>
      <c r="U35" s="223">
        <f t="shared" si="5"/>
        <v>0</v>
      </c>
      <c r="V35" s="306">
        <f t="shared" si="6"/>
        <v>4903846.1538461531</v>
      </c>
      <c r="W35" s="306">
        <f t="shared" si="0"/>
        <v>653846.15384615387</v>
      </c>
      <c r="X35" s="223">
        <f>(J35/26)*$O35</f>
        <v>1176923.076923077</v>
      </c>
      <c r="Y35" s="223">
        <f>(K35/26)*$O35</f>
        <v>326923.07692307694</v>
      </c>
      <c r="Z35" s="223">
        <f>(L35/26)*$O35</f>
        <v>196153.84615384616</v>
      </c>
      <c r="AA35" s="223">
        <f t="shared" si="8"/>
        <v>400000</v>
      </c>
      <c r="AB35" s="223">
        <f>VLOOKUP($B35,'Bảng thông tin'!$B:$R,15,0)+VLOOKUP(B35,'Bảng thông tin'!$B:$Q,16,0)</f>
        <v>0</v>
      </c>
      <c r="AC35" s="223">
        <f t="shared" si="9"/>
        <v>7657692.307692307</v>
      </c>
      <c r="AD35" s="223">
        <f t="shared" si="10"/>
        <v>1176923.076923077</v>
      </c>
      <c r="AE35" s="223">
        <f t="shared" si="11"/>
        <v>196153.84615384616</v>
      </c>
      <c r="AF35" s="223">
        <f t="shared" si="12"/>
        <v>400000</v>
      </c>
      <c r="AG35" s="223">
        <f t="shared" si="13"/>
        <v>0</v>
      </c>
      <c r="AH35" s="223">
        <f t="shared" si="14"/>
        <v>1773076.9230769232</v>
      </c>
      <c r="AI35" s="223">
        <f>IFERROR(IF($O35&lt;14,0,$G35*17%),0)</f>
        <v>1445000</v>
      </c>
      <c r="AJ35" s="223">
        <f t="shared" si="16"/>
        <v>255000</v>
      </c>
      <c r="AK35" s="223">
        <f t="shared" si="17"/>
        <v>85000</v>
      </c>
      <c r="AL35" s="223">
        <f t="shared" si="18"/>
        <v>42500</v>
      </c>
      <c r="AM35" s="185">
        <f t="shared" si="19"/>
        <v>1827500</v>
      </c>
      <c r="AN35" s="223">
        <f t="shared" si="1"/>
        <v>170000</v>
      </c>
      <c r="AO35" s="223">
        <f t="shared" si="20"/>
        <v>680000</v>
      </c>
      <c r="AP35" s="223">
        <f t="shared" si="21"/>
        <v>127500</v>
      </c>
      <c r="AQ35" s="223">
        <f t="shared" si="22"/>
        <v>85000</v>
      </c>
      <c r="AR35" s="185">
        <f t="shared" si="23"/>
        <v>892500</v>
      </c>
      <c r="AS35" s="223">
        <f t="shared" si="24"/>
        <v>0</v>
      </c>
      <c r="AT35" s="223">
        <f t="shared" si="25"/>
        <v>15500000</v>
      </c>
      <c r="AU35" s="223"/>
      <c r="AV35" s="223">
        <f t="shared" si="26"/>
        <v>0</v>
      </c>
      <c r="AW35" s="223">
        <f t="shared" si="27"/>
        <v>15500000</v>
      </c>
      <c r="AX35" s="223">
        <f t="shared" si="28"/>
        <v>5884615</v>
      </c>
      <c r="AY35" s="223">
        <f t="shared" si="29"/>
        <v>0</v>
      </c>
      <c r="AZ35" s="223">
        <f t="shared" si="2"/>
        <v>0</v>
      </c>
      <c r="BA35" s="223">
        <f>+VLOOKUP($B35,'Bảng thông tin'!$B:$R,16,0)</f>
        <v>0</v>
      </c>
      <c r="BB35" s="335">
        <f t="shared" si="30"/>
        <v>6765192</v>
      </c>
      <c r="BD35" s="359"/>
      <c r="BE35" s="359"/>
    </row>
    <row r="36" spans="1:57" s="231" customFormat="1" ht="20.25" customHeight="1" x14ac:dyDescent="0.25">
      <c r="A36" s="219">
        <v>33</v>
      </c>
      <c r="B36" s="229" t="s">
        <v>238</v>
      </c>
      <c r="C36" s="355" t="str">
        <f>+VLOOKUP($B36,'Bảng thông tin'!$B$4:$R$1002,2,0)</f>
        <v xml:space="preserve">Vũ Thị Mai Thủy </v>
      </c>
      <c r="D36" s="219" t="str">
        <f>+VLOOKUP($B36,'Bảng thông tin'!$B$4:$R$1002,3,0)</f>
        <v>HĐLĐ</v>
      </c>
      <c r="E36" s="225" t="s">
        <v>240</v>
      </c>
      <c r="F36" s="226" t="s">
        <v>57</v>
      </c>
      <c r="G36" s="221">
        <f>+VLOOKUP($B36,'Bảng thông tin'!$B$4:$R$1002,7,0)</f>
        <v>10000000</v>
      </c>
      <c r="H36" s="221">
        <f>+VLOOKUP($B36,'Bảng thông tin'!$B$4:$R$1002,8,0)</f>
        <v>8500000</v>
      </c>
      <c r="I36" s="221">
        <f>+VLOOKUP($B36,'Bảng thông tin'!$B$4:$R$1002,9,0)</f>
        <v>1500000</v>
      </c>
      <c r="J36" s="221">
        <f>+VLOOKUP($B36,'Bảng thông tin'!$B$4:$R$1002,10,0)</f>
        <v>1800000</v>
      </c>
      <c r="K36" s="221">
        <f>+VLOOKUP($B36,'Bảng thông tin'!$B$4:$R$1002,11,0)</f>
        <v>500000</v>
      </c>
      <c r="L36" s="221">
        <f>+VLOOKUP($B36,'Bảng thông tin'!$B$4:$R$1002,12,0)</f>
        <v>500000</v>
      </c>
      <c r="M36" s="230">
        <f>+VLOOKUP($B36,'Bảng thông tin'!$B$4:$R$1002,13,0)</f>
        <v>400000</v>
      </c>
      <c r="N36" s="221">
        <f>+VLOOKUP($B36,'Bảng thông tin'!$B$4:$R$1002,14,0)</f>
        <v>13200000</v>
      </c>
      <c r="O36" s="222">
        <f>VLOOKUP($B36,BCC!$B$11:$AN$1032,35,0)</f>
        <v>25</v>
      </c>
      <c r="P36" s="222">
        <f>VLOOKUP($B36,BCC!$B$11:$AN$1032,38,0)+VLOOKUP($B36,BCC!$B$11:$AN$1032,39,0)</f>
        <v>1</v>
      </c>
      <c r="Q36" s="223">
        <f t="shared" si="50"/>
        <v>384615.38461538462</v>
      </c>
      <c r="R36" s="222">
        <f>VLOOKUP($B36,BCC!$B$11:$AN$1032,36,0)</f>
        <v>6.32</v>
      </c>
      <c r="S36" s="223">
        <f t="shared" si="4"/>
        <v>455769</v>
      </c>
      <c r="T36" s="222">
        <f>VLOOKUP($B36,BCC!$B$11:$AN$1032,37,0)</f>
        <v>0</v>
      </c>
      <c r="U36" s="223">
        <f t="shared" si="5"/>
        <v>0</v>
      </c>
      <c r="V36" s="306">
        <f t="shared" si="6"/>
        <v>8173076.923076923</v>
      </c>
      <c r="W36" s="306">
        <f t="shared" si="0"/>
        <v>1442307.6923076925</v>
      </c>
      <c r="X36" s="306">
        <f t="shared" ref="X36:X38" si="51">(J36/26)*$O36</f>
        <v>1730769.2307692308</v>
      </c>
      <c r="Y36" s="306">
        <f t="shared" ref="Y36" si="52">(K36/26)*$O36</f>
        <v>480769.23076923075</v>
      </c>
      <c r="Z36" s="306">
        <f t="shared" ref="Z36" si="53">(L36/26)*$O36</f>
        <v>480769.23076923075</v>
      </c>
      <c r="AA36" s="310">
        <f>IF($D36="HĐTV",0,(M36))</f>
        <v>400000</v>
      </c>
      <c r="AB36" s="223">
        <f>VLOOKUP($B36,'Bảng thông tin'!$B:$R,15,0)+VLOOKUP(B36,'Bảng thông tin'!$B:$Q,16,0)</f>
        <v>0</v>
      </c>
      <c r="AC36" s="223">
        <f t="shared" si="9"/>
        <v>13548076.69230769</v>
      </c>
      <c r="AD36" s="223">
        <f t="shared" si="10"/>
        <v>1730769.2307692308</v>
      </c>
      <c r="AE36" s="306">
        <f t="shared" ref="AE36" si="54">IF($D36="HĐTV",0,Z36)</f>
        <v>480769.23076923075</v>
      </c>
      <c r="AF36" s="306">
        <f t="shared" ref="AF36" si="55">IF($D36="HĐTV",0,IF(AA36&lt;=(5000000/12),AA36,AA36-(AA36-(5000000/12))))</f>
        <v>400000</v>
      </c>
      <c r="AG36" s="223">
        <f t="shared" si="13"/>
        <v>455769</v>
      </c>
      <c r="AH36" s="306">
        <f>+SUM(AD36:AG36)</f>
        <v>3067307.4615384615</v>
      </c>
      <c r="AI36" s="306">
        <f>IFERROR(IF($O36&lt;14,0,$G36*17%),0)</f>
        <v>1700000.0000000002</v>
      </c>
      <c r="AJ36" s="306">
        <f t="shared" si="16"/>
        <v>300000</v>
      </c>
      <c r="AK36" s="306">
        <f t="shared" si="17"/>
        <v>100000</v>
      </c>
      <c r="AL36" s="306">
        <f t="shared" si="18"/>
        <v>50000</v>
      </c>
      <c r="AM36" s="185">
        <f>IFERROR(SUM(AI36:AL36),0)</f>
        <v>2150000</v>
      </c>
      <c r="AN36" s="306">
        <f t="shared" si="1"/>
        <v>200000</v>
      </c>
      <c r="AO36" s="306">
        <f t="shared" si="20"/>
        <v>800000</v>
      </c>
      <c r="AP36" s="306">
        <f t="shared" si="21"/>
        <v>150000</v>
      </c>
      <c r="AQ36" s="306">
        <f t="shared" si="22"/>
        <v>100000</v>
      </c>
      <c r="AR36" s="185">
        <f t="shared" ref="AR36" si="56">SUM(AO36:AQ36)</f>
        <v>1050000</v>
      </c>
      <c r="AS36" s="306">
        <f t="shared" si="24"/>
        <v>0</v>
      </c>
      <c r="AT36" s="306">
        <f t="shared" si="25"/>
        <v>15500000</v>
      </c>
      <c r="AU36" s="223"/>
      <c r="AV36" s="223">
        <f t="shared" ref="AV36" si="57">+AU36*6200000</f>
        <v>0</v>
      </c>
      <c r="AW36" s="223">
        <f t="shared" ref="AW36" si="58">+AT36+AV36</f>
        <v>15500000</v>
      </c>
      <c r="AX36" s="223">
        <f t="shared" si="28"/>
        <v>10480769</v>
      </c>
      <c r="AY36" s="223">
        <f t="shared" ref="AY36" si="59">IF(AX36-AW36-AR36-AS36&lt;0,0,AX36-AW36-AR36-AS36)</f>
        <v>0</v>
      </c>
      <c r="AZ36" s="223">
        <f t="shared" si="2"/>
        <v>0</v>
      </c>
      <c r="BA36" s="223">
        <f>+VLOOKUP($B36,'Bảng thông tin'!$B:$R,16,0)</f>
        <v>0</v>
      </c>
      <c r="BB36" s="335">
        <f t="shared" si="30"/>
        <v>12498077</v>
      </c>
    </row>
    <row r="37" spans="1:57" s="231" customFormat="1" ht="20.25" customHeight="1" x14ac:dyDescent="0.25">
      <c r="A37" s="219">
        <v>34</v>
      </c>
      <c r="B37" s="229" t="s">
        <v>303</v>
      </c>
      <c r="C37" s="305" t="str">
        <f>+VLOOKUP($B37,'Bảng thông tin'!$B$4:$R$1002,2,0)</f>
        <v>Phạm Thị Kim Trang</v>
      </c>
      <c r="D37" s="219" t="str">
        <f>+VLOOKUP($B37,'Bảng thông tin'!$B$4:$R$1002,3,0)</f>
        <v>HĐLĐ</v>
      </c>
      <c r="E37" s="227" t="s">
        <v>54</v>
      </c>
      <c r="F37" s="226" t="s">
        <v>52</v>
      </c>
      <c r="G37" s="221">
        <f>+VLOOKUP($B37,'Bảng thông tin'!$B$4:$R$1002,7,0)</f>
        <v>7000000</v>
      </c>
      <c r="H37" s="221">
        <f>+VLOOKUP($B37,'Bảng thông tin'!$B$4:$R$1002,8,0)</f>
        <v>6500000</v>
      </c>
      <c r="I37" s="221">
        <f>+VLOOKUP($B37,'Bảng thông tin'!$B$4:$R$1002,9,0)</f>
        <v>500000</v>
      </c>
      <c r="J37" s="221">
        <f>+VLOOKUP($B37,'Bảng thông tin'!$B$4:$R$1002,10,0)</f>
        <v>1000000</v>
      </c>
      <c r="K37" s="221">
        <f>+VLOOKUP($B37,'Bảng thông tin'!$B$4:$R$1002,11,0)</f>
        <v>500000</v>
      </c>
      <c r="L37" s="221">
        <f>+VLOOKUP($B37,'Bảng thông tin'!$B$4:$R$1002,12,0)</f>
        <v>400000</v>
      </c>
      <c r="M37" s="230">
        <f>+VLOOKUP($B37,'Bảng thông tin'!$B$4:$R$1002,13,0)</f>
        <v>400000</v>
      </c>
      <c r="N37" s="221">
        <f>+VLOOKUP($B37,'Bảng thông tin'!$B$4:$R$1002,14,0)</f>
        <v>9300000</v>
      </c>
      <c r="O37" s="222">
        <f>VLOOKUP($B37,BCC!$B$11:$AN$1032,35,0)</f>
        <v>26</v>
      </c>
      <c r="P37" s="222">
        <f>VLOOKUP($B37,BCC!$B$11:$AN$1032,38,0)+VLOOKUP($B37,BCC!$B$11:$AN$1032,39,0)</f>
        <v>0</v>
      </c>
      <c r="Q37" s="223">
        <f t="shared" si="50"/>
        <v>0</v>
      </c>
      <c r="R37" s="222">
        <f>VLOOKUP($B37,BCC!$B$11:$AN$1032,36,0)</f>
        <v>8.8000000000000007</v>
      </c>
      <c r="S37" s="223">
        <f t="shared" si="4"/>
        <v>444231</v>
      </c>
      <c r="T37" s="222">
        <f>VLOOKUP($B37,BCC!$B$11:$AN$1032,37,0)</f>
        <v>8</v>
      </c>
      <c r="U37" s="223">
        <f t="shared" si="5"/>
        <v>538462</v>
      </c>
      <c r="V37" s="306">
        <f t="shared" si="6"/>
        <v>6500000</v>
      </c>
      <c r="W37" s="306">
        <f t="shared" si="0"/>
        <v>500000</v>
      </c>
      <c r="X37" s="306">
        <f t="shared" si="51"/>
        <v>1000000</v>
      </c>
      <c r="Y37" s="306">
        <f t="shared" ref="Y37" si="60">(K37/26)*$O37</f>
        <v>500000</v>
      </c>
      <c r="Z37" s="306">
        <f t="shared" ref="Z37" si="61">(L37/26)*$O37</f>
        <v>400000</v>
      </c>
      <c r="AA37" s="310">
        <f>IF($D37="HĐTV",0,(M37))</f>
        <v>400000</v>
      </c>
      <c r="AB37" s="223">
        <f>VLOOKUP($B37,'Bảng thông tin'!$B:$R,15,0)+VLOOKUP(B37,'Bảng thông tin'!$B:$Q,16,0)</f>
        <v>0</v>
      </c>
      <c r="AC37" s="223">
        <f t="shared" si="9"/>
        <v>10282693</v>
      </c>
      <c r="AD37" s="223">
        <f t="shared" si="10"/>
        <v>1000000</v>
      </c>
      <c r="AE37" s="306">
        <f t="shared" ref="AE37" si="62">IF($D37="HĐTV",0,Z37)</f>
        <v>400000</v>
      </c>
      <c r="AF37" s="306">
        <f t="shared" ref="AF37" si="63">IF($D37="HĐTV",0,IF(AA37&lt;=(5000000/12),AA37,AA37-(AA37-(5000000/12))))</f>
        <v>400000</v>
      </c>
      <c r="AG37" s="223">
        <f t="shared" si="13"/>
        <v>982693</v>
      </c>
      <c r="AH37" s="306">
        <f t="shared" ref="AH37" si="64">+SUM(AD37:AG37)</f>
        <v>2782693</v>
      </c>
      <c r="AI37" s="306">
        <f t="shared" si="15"/>
        <v>1190000</v>
      </c>
      <c r="AJ37" s="306">
        <f t="shared" si="16"/>
        <v>210000</v>
      </c>
      <c r="AK37" s="306">
        <f t="shared" si="17"/>
        <v>70000</v>
      </c>
      <c r="AL37" s="306">
        <f t="shared" si="18"/>
        <v>35000</v>
      </c>
      <c r="AM37" s="185">
        <f t="shared" ref="AM37" si="65">IFERROR(SUM(AI37:AL37),0)</f>
        <v>1505000</v>
      </c>
      <c r="AN37" s="306">
        <f t="shared" si="1"/>
        <v>140000</v>
      </c>
      <c r="AO37" s="306">
        <f t="shared" si="20"/>
        <v>560000</v>
      </c>
      <c r="AP37" s="306">
        <f t="shared" si="21"/>
        <v>105000</v>
      </c>
      <c r="AQ37" s="306">
        <f t="shared" si="22"/>
        <v>70000</v>
      </c>
      <c r="AR37" s="185">
        <f t="shared" ref="AR37" si="66">SUM(AO37:AQ37)</f>
        <v>735000</v>
      </c>
      <c r="AS37" s="306">
        <f t="shared" si="24"/>
        <v>0</v>
      </c>
      <c r="AT37" s="306">
        <f t="shared" si="25"/>
        <v>15500000</v>
      </c>
      <c r="AU37" s="223"/>
      <c r="AV37" s="223">
        <f t="shared" ref="AV37" si="67">+AU37*6200000</f>
        <v>0</v>
      </c>
      <c r="AW37" s="223">
        <f t="shared" ref="AW37" si="68">+AT37+AV37</f>
        <v>15500000</v>
      </c>
      <c r="AX37" s="223">
        <f t="shared" si="28"/>
        <v>7500000</v>
      </c>
      <c r="AY37" s="223">
        <f t="shared" ref="AY37" si="69">IF(AX37-AW37-AR37-AS37&lt;0,0,AX37-AW37-AR37-AS37)</f>
        <v>0</v>
      </c>
      <c r="AZ37" s="223">
        <f t="shared" si="2"/>
        <v>0</v>
      </c>
      <c r="BA37" s="223">
        <f>+VLOOKUP($B37,'Bảng thông tin'!$B:$R,16,0)</f>
        <v>0</v>
      </c>
      <c r="BB37" s="335">
        <f t="shared" si="30"/>
        <v>9547693</v>
      </c>
    </row>
    <row r="38" spans="1:57" s="231" customFormat="1" ht="20.25" customHeight="1" x14ac:dyDescent="0.25">
      <c r="A38" s="219">
        <v>35</v>
      </c>
      <c r="B38" s="229" t="s">
        <v>304</v>
      </c>
      <c r="C38" s="305" t="str">
        <f>+VLOOKUP($B38,'Bảng thông tin'!$B$4:$R$1002,2,0)</f>
        <v>Nguyễn Ngọc Hân</v>
      </c>
      <c r="D38" s="219" t="str">
        <f>+VLOOKUP($B38,'Bảng thông tin'!$B$4:$R$1002,3,0)</f>
        <v>HĐLĐ</v>
      </c>
      <c r="E38" s="346" t="s">
        <v>227</v>
      </c>
      <c r="F38" s="226" t="s">
        <v>52</v>
      </c>
      <c r="G38" s="221">
        <f>+VLOOKUP($B38,'Bảng thông tin'!$B$4:$R$1002,7,0)</f>
        <v>6000000</v>
      </c>
      <c r="H38" s="221">
        <f>+VLOOKUP($B38,'Bảng thông tin'!$B$4:$R$1002,8,0)</f>
        <v>5500000</v>
      </c>
      <c r="I38" s="221">
        <f>+VLOOKUP($B38,'Bảng thông tin'!$B$4:$R$1002,9,0)</f>
        <v>500000</v>
      </c>
      <c r="J38" s="221">
        <f>+VLOOKUP($B38,'Bảng thông tin'!$B$4:$R$1002,10,0)</f>
        <v>1000000</v>
      </c>
      <c r="K38" s="221">
        <f>+VLOOKUP($B38,'Bảng thông tin'!$B$4:$R$1002,11,0)</f>
        <v>500000</v>
      </c>
      <c r="L38" s="221">
        <f>+VLOOKUP($B38,'Bảng thông tin'!$B$4:$R$1002,12,0)</f>
        <v>400000</v>
      </c>
      <c r="M38" s="230">
        <f>+VLOOKUP($B38,'Bảng thông tin'!$B$4:$R$1002,13,0)</f>
        <v>400000</v>
      </c>
      <c r="N38" s="221">
        <f>+VLOOKUP($B38,'Bảng thông tin'!$B$4:$R$1002,14,0)</f>
        <v>8300000</v>
      </c>
      <c r="O38" s="222">
        <f>VLOOKUP($B38,BCC!$B$11:$AN$1032,35,0)</f>
        <v>23</v>
      </c>
      <c r="P38" s="222">
        <f>VLOOKUP($B38,BCC!$B$11:$AN$1032,38,0)+VLOOKUP($B38,BCC!$B$11:$AN$1032,39,0)</f>
        <v>1</v>
      </c>
      <c r="Q38" s="223">
        <f t="shared" si="50"/>
        <v>230769.23076923078</v>
      </c>
      <c r="R38" s="222">
        <f>VLOOKUP($B38,BCC!$B$11:$AN$1032,36,0)</f>
        <v>33.870000000000005</v>
      </c>
      <c r="S38" s="223">
        <f t="shared" si="4"/>
        <v>1465529</v>
      </c>
      <c r="T38" s="222">
        <f>VLOOKUP($B38,BCC!$B$11:$AN$1032,37,0)</f>
        <v>0</v>
      </c>
      <c r="U38" s="223">
        <f t="shared" si="5"/>
        <v>0</v>
      </c>
      <c r="V38" s="306">
        <f t="shared" si="6"/>
        <v>4865384.615384615</v>
      </c>
      <c r="W38" s="306">
        <f t="shared" si="0"/>
        <v>442307.69230769231</v>
      </c>
      <c r="X38" s="306">
        <f t="shared" si="51"/>
        <v>884615.38461538462</v>
      </c>
      <c r="Y38" s="306">
        <f t="shared" ref="Y38:Y39" si="70">(K38/26)*$O38</f>
        <v>442307.69230769231</v>
      </c>
      <c r="Z38" s="306">
        <f t="shared" ref="Z38:Z40" si="71">(L38/26)*$O38</f>
        <v>353846.15384615387</v>
      </c>
      <c r="AA38" s="310">
        <f t="shared" ref="AA38:AA40" si="72">IF($D38="HĐTV",0,(M38))</f>
        <v>400000</v>
      </c>
      <c r="AB38" s="223">
        <f>VLOOKUP($B38,'Bảng thông tin'!$B:$R,15,0)+VLOOKUP(B38,'Bảng thông tin'!$B:$Q,16,0)</f>
        <v>0</v>
      </c>
      <c r="AC38" s="223">
        <f t="shared" si="9"/>
        <v>9084759.7692307681</v>
      </c>
      <c r="AD38" s="306">
        <f t="shared" ref="AD38:AD41" si="73">IF($D38="HĐTV",0,IF(X38&lt;=730000,X38,X38-(X38-730000)))</f>
        <v>730000</v>
      </c>
      <c r="AE38" s="306">
        <f t="shared" ref="AE38:AE41" si="74">IF($D38="HĐTV",0,Z38)</f>
        <v>353846.15384615387</v>
      </c>
      <c r="AF38" s="306">
        <f t="shared" ref="AF38:AF41" si="75">IF($D38="HĐTV",0,IF(AA38&lt;=(5000000/12),AA38,AA38-(AA38-(5000000/12))))</f>
        <v>400000</v>
      </c>
      <c r="AG38" s="223">
        <f t="shared" si="13"/>
        <v>1465529</v>
      </c>
      <c r="AH38" s="306">
        <f t="shared" ref="AH38:AH41" si="76">+SUM(AD38:AG38)</f>
        <v>2949375.153846154</v>
      </c>
      <c r="AI38" s="306">
        <f t="shared" si="15"/>
        <v>1020000.0000000001</v>
      </c>
      <c r="AJ38" s="306">
        <f t="shared" si="16"/>
        <v>180000</v>
      </c>
      <c r="AK38" s="306">
        <f t="shared" si="17"/>
        <v>60000</v>
      </c>
      <c r="AL38" s="306">
        <f t="shared" si="18"/>
        <v>30000</v>
      </c>
      <c r="AM38" s="185">
        <f t="shared" ref="AM38:AM41" si="77">IFERROR(SUM(AI38:AL38),0)</f>
        <v>1290000</v>
      </c>
      <c r="AN38" s="306">
        <f t="shared" si="1"/>
        <v>120000</v>
      </c>
      <c r="AO38" s="306">
        <f t="shared" si="20"/>
        <v>480000</v>
      </c>
      <c r="AP38" s="306">
        <f t="shared" si="21"/>
        <v>90000</v>
      </c>
      <c r="AQ38" s="306">
        <f t="shared" si="22"/>
        <v>60000</v>
      </c>
      <c r="AR38" s="185">
        <f t="shared" ref="AR38:AR41" si="78">SUM(AO38:AQ38)</f>
        <v>630000</v>
      </c>
      <c r="AS38" s="306">
        <f t="shared" si="24"/>
        <v>0</v>
      </c>
      <c r="AT38" s="306">
        <f t="shared" si="25"/>
        <v>15500000</v>
      </c>
      <c r="AU38" s="223"/>
      <c r="AV38" s="223">
        <f t="shared" ref="AV38:AV41" si="79">+AU38*6200000</f>
        <v>0</v>
      </c>
      <c r="AW38" s="223">
        <f t="shared" ref="AW38:AW41" si="80">+AT38+AV38</f>
        <v>15500000</v>
      </c>
      <c r="AX38" s="223">
        <f t="shared" si="28"/>
        <v>6135385</v>
      </c>
      <c r="AY38" s="223">
        <f t="shared" ref="AY38:AY41" si="81">IF(AX38-AW38-AR38-AS38&lt;0,0,AX38-AW38-AR38-AS38)</f>
        <v>0</v>
      </c>
      <c r="AZ38" s="223">
        <f t="shared" si="2"/>
        <v>0</v>
      </c>
      <c r="BA38" s="223">
        <f>+VLOOKUP($B38,'Bảng thông tin'!$B:$R,16,0)</f>
        <v>0</v>
      </c>
      <c r="BB38" s="335">
        <f t="shared" si="30"/>
        <v>8454760</v>
      </c>
    </row>
    <row r="39" spans="1:57" s="231" customFormat="1" ht="20.25" customHeight="1" x14ac:dyDescent="0.25">
      <c r="A39" s="219">
        <v>36</v>
      </c>
      <c r="B39" s="229" t="s">
        <v>305</v>
      </c>
      <c r="C39" s="305" t="str">
        <f>+VLOOKUP($B39,'Bảng thông tin'!$B$4:$R$1002,2,0)</f>
        <v>Trần Thị Ngọc Hân</v>
      </c>
      <c r="D39" s="219" t="str">
        <f>+VLOOKUP($B39,'Bảng thông tin'!$B$4:$R$1002,3,0)</f>
        <v>HĐLĐ</v>
      </c>
      <c r="E39" s="227" t="s">
        <v>54</v>
      </c>
      <c r="F39" s="226" t="s">
        <v>59</v>
      </c>
      <c r="G39" s="221">
        <f>+VLOOKUP($B39,'Bảng thông tin'!$B$4:$R$1002,7,0)</f>
        <v>6500000</v>
      </c>
      <c r="H39" s="221">
        <f>+VLOOKUP($B39,'Bảng thông tin'!$B$4:$R$1002,8,0)</f>
        <v>6000000</v>
      </c>
      <c r="I39" s="221">
        <f>+VLOOKUP($B39,'Bảng thông tin'!$B$4:$R$1002,9,0)</f>
        <v>500000</v>
      </c>
      <c r="J39" s="221">
        <f>+VLOOKUP($B39,'Bảng thông tin'!$B$4:$R$1002,10,0)</f>
        <v>1000000</v>
      </c>
      <c r="K39" s="221">
        <f>+VLOOKUP($B39,'Bảng thông tin'!$B$4:$R$1002,11,0)</f>
        <v>500000</v>
      </c>
      <c r="L39" s="221">
        <f>+VLOOKUP($B39,'Bảng thông tin'!$B$4:$R$1002,12,0)</f>
        <v>400000</v>
      </c>
      <c r="M39" s="230">
        <f>+VLOOKUP($B39,'Bảng thông tin'!$B$4:$R$1002,13,0)</f>
        <v>400000</v>
      </c>
      <c r="N39" s="221">
        <f>+VLOOKUP($B39,'Bảng thông tin'!$B$4:$R$1002,14,0)</f>
        <v>8800000</v>
      </c>
      <c r="O39" s="325">
        <f>VLOOKUP($B39,BCC!$B$11:$AN$1032,35,0)</f>
        <v>26</v>
      </c>
      <c r="P39" s="222">
        <f>VLOOKUP($B39,BCC!$B$11:$AN$1032,38,0)+VLOOKUP($B39,BCC!$B$11:$AN$1032,39,0)</f>
        <v>1</v>
      </c>
      <c r="Q39" s="223">
        <f t="shared" si="50"/>
        <v>250000</v>
      </c>
      <c r="R39" s="222">
        <f>VLOOKUP($B39,BCC!$B$11:$AN$1032,36,0)</f>
        <v>38.819999999999993</v>
      </c>
      <c r="S39" s="223">
        <f t="shared" si="4"/>
        <v>1819688</v>
      </c>
      <c r="T39" s="222">
        <f>VLOOKUP($B39,BCC!$B$11:$AN$1032,37,0)</f>
        <v>0</v>
      </c>
      <c r="U39" s="223">
        <f t="shared" si="5"/>
        <v>0</v>
      </c>
      <c r="V39" s="306">
        <f t="shared" si="6"/>
        <v>6000000</v>
      </c>
      <c r="W39" s="306">
        <f t="shared" si="0"/>
        <v>500000</v>
      </c>
      <c r="X39" s="306">
        <f t="shared" ref="X39:X40" si="82">(J39/26)*$O39</f>
        <v>1000000</v>
      </c>
      <c r="Y39" s="306">
        <f t="shared" si="70"/>
        <v>500000</v>
      </c>
      <c r="Z39" s="306">
        <f t="shared" si="71"/>
        <v>400000</v>
      </c>
      <c r="AA39" s="310">
        <f t="shared" si="72"/>
        <v>400000</v>
      </c>
      <c r="AB39" s="223">
        <f>VLOOKUP($B39,'Bảng thông tin'!$B:$R,15,0)+VLOOKUP(B39,'Bảng thông tin'!$B:$Q,16,0)</f>
        <v>0</v>
      </c>
      <c r="AC39" s="223">
        <f t="shared" si="9"/>
        <v>10869688</v>
      </c>
      <c r="AD39" s="306">
        <f t="shared" si="73"/>
        <v>730000</v>
      </c>
      <c r="AE39" s="306">
        <f t="shared" si="74"/>
        <v>400000</v>
      </c>
      <c r="AF39" s="306">
        <f t="shared" si="75"/>
        <v>400000</v>
      </c>
      <c r="AG39" s="223">
        <f t="shared" si="13"/>
        <v>1819688</v>
      </c>
      <c r="AH39" s="306">
        <f t="shared" si="76"/>
        <v>3349688</v>
      </c>
      <c r="AI39" s="306">
        <f t="shared" si="15"/>
        <v>1105000</v>
      </c>
      <c r="AJ39" s="306">
        <f t="shared" si="16"/>
        <v>195000</v>
      </c>
      <c r="AK39" s="306">
        <f t="shared" si="17"/>
        <v>65000</v>
      </c>
      <c r="AL39" s="306">
        <f t="shared" si="18"/>
        <v>32500</v>
      </c>
      <c r="AM39" s="185">
        <f t="shared" si="77"/>
        <v>1397500</v>
      </c>
      <c r="AN39" s="306">
        <f t="shared" si="1"/>
        <v>130000</v>
      </c>
      <c r="AO39" s="306">
        <f t="shared" si="20"/>
        <v>520000</v>
      </c>
      <c r="AP39" s="306">
        <f t="shared" si="21"/>
        <v>97500</v>
      </c>
      <c r="AQ39" s="306">
        <f t="shared" si="22"/>
        <v>65000</v>
      </c>
      <c r="AR39" s="185">
        <f t="shared" si="78"/>
        <v>682500</v>
      </c>
      <c r="AS39" s="306">
        <f t="shared" si="24"/>
        <v>0</v>
      </c>
      <c r="AT39" s="306">
        <f t="shared" si="25"/>
        <v>15500000</v>
      </c>
      <c r="AU39" s="223"/>
      <c r="AV39" s="223">
        <f t="shared" si="79"/>
        <v>0</v>
      </c>
      <c r="AW39" s="223">
        <f t="shared" si="80"/>
        <v>15500000</v>
      </c>
      <c r="AX39" s="223">
        <f t="shared" si="28"/>
        <v>7520000</v>
      </c>
      <c r="AY39" s="223">
        <f t="shared" si="81"/>
        <v>0</v>
      </c>
      <c r="AZ39" s="223">
        <f t="shared" si="2"/>
        <v>0</v>
      </c>
      <c r="BA39" s="223">
        <f>+VLOOKUP($B39,'Bảng thông tin'!$B:$R,16,0)</f>
        <v>0</v>
      </c>
      <c r="BB39" s="335">
        <f t="shared" si="30"/>
        <v>10187188</v>
      </c>
    </row>
    <row r="40" spans="1:57" s="231" customFormat="1" ht="20.25" customHeight="1" x14ac:dyDescent="0.25">
      <c r="A40" s="219">
        <v>37</v>
      </c>
      <c r="B40" s="229" t="s">
        <v>306</v>
      </c>
      <c r="C40" s="305" t="str">
        <f>+VLOOKUP($B40,'Bảng thông tin'!$B$4:$R$1002,2,0)</f>
        <v>Võ Thị Xuân Dung</v>
      </c>
      <c r="D40" s="219" t="str">
        <f>+VLOOKUP($B40,'Bảng thông tin'!$B$4:$R$1002,3,0)</f>
        <v>HĐLĐ</v>
      </c>
      <c r="E40" s="227" t="s">
        <v>54</v>
      </c>
      <c r="F40" s="226" t="s">
        <v>59</v>
      </c>
      <c r="G40" s="221">
        <f>+VLOOKUP($B40,'Bảng thông tin'!$B$4:$R$1002,7,0)</f>
        <v>7000000</v>
      </c>
      <c r="H40" s="221">
        <f>+VLOOKUP($B40,'Bảng thông tin'!$B$4:$R$1002,8,0)</f>
        <v>6500000</v>
      </c>
      <c r="I40" s="221">
        <f>+VLOOKUP($B40,'Bảng thông tin'!$B$4:$R$1002,9,0)</f>
        <v>500000</v>
      </c>
      <c r="J40" s="221">
        <f>+VLOOKUP($B40,'Bảng thông tin'!$B$4:$R$1002,10,0)</f>
        <v>1000000</v>
      </c>
      <c r="K40" s="221">
        <f>+VLOOKUP($B40,'Bảng thông tin'!$B$4:$R$1002,11,0)</f>
        <v>500000</v>
      </c>
      <c r="L40" s="221">
        <f>+VLOOKUP($B40,'Bảng thông tin'!$B$4:$R$1002,12,0)</f>
        <v>400000</v>
      </c>
      <c r="M40" s="230">
        <f>+VLOOKUP($B40,'Bảng thông tin'!$B$4:$R$1002,13,0)</f>
        <v>400000</v>
      </c>
      <c r="N40" s="221">
        <f>+VLOOKUP($B40,'Bảng thông tin'!$B$4:$R$1002,14,0)</f>
        <v>9300000</v>
      </c>
      <c r="O40" s="222">
        <f>VLOOKUP($B40,BCC!$B$11:$AN$1032,35,0)</f>
        <v>26</v>
      </c>
      <c r="P40" s="222">
        <f>VLOOKUP($B40,BCC!$B$11:$AN$1032,38,0)+VLOOKUP($B40,BCC!$B$11:$AN$1032,39,0)</f>
        <v>0</v>
      </c>
      <c r="Q40" s="223">
        <f t="shared" si="50"/>
        <v>0</v>
      </c>
      <c r="R40" s="222">
        <f>VLOOKUP($B40,BCC!$B$11:$AN$1032,36,0)</f>
        <v>23.754000000000001</v>
      </c>
      <c r="S40" s="223">
        <f t="shared" si="4"/>
        <v>1199120</v>
      </c>
      <c r="T40" s="222">
        <f>VLOOKUP($B40,BCC!$B$11:$AN$1032,37,0)</f>
        <v>0</v>
      </c>
      <c r="U40" s="223">
        <f t="shared" si="5"/>
        <v>0</v>
      </c>
      <c r="V40" s="306">
        <f t="shared" si="6"/>
        <v>6500000</v>
      </c>
      <c r="W40" s="306">
        <f t="shared" si="0"/>
        <v>500000</v>
      </c>
      <c r="X40" s="306">
        <f t="shared" si="82"/>
        <v>1000000</v>
      </c>
      <c r="Y40" s="306">
        <f>(K40/26)*$O40</f>
        <v>500000</v>
      </c>
      <c r="Z40" s="306">
        <f t="shared" si="71"/>
        <v>400000</v>
      </c>
      <c r="AA40" s="310">
        <f t="shared" si="72"/>
        <v>400000</v>
      </c>
      <c r="AB40" s="223">
        <f>VLOOKUP($B40,'Bảng thông tin'!$B:$R,15,0)+VLOOKUP(B40,'Bảng thông tin'!$B:$Q,16,0)</f>
        <v>0</v>
      </c>
      <c r="AC40" s="223">
        <f t="shared" si="9"/>
        <v>10499120</v>
      </c>
      <c r="AD40" s="306">
        <f t="shared" si="73"/>
        <v>730000</v>
      </c>
      <c r="AE40" s="306">
        <f t="shared" si="74"/>
        <v>400000</v>
      </c>
      <c r="AF40" s="306">
        <f t="shared" si="75"/>
        <v>400000</v>
      </c>
      <c r="AG40" s="223">
        <f t="shared" si="13"/>
        <v>1199120</v>
      </c>
      <c r="AH40" s="306">
        <f t="shared" si="76"/>
        <v>2729120</v>
      </c>
      <c r="AI40" s="306">
        <f t="shared" si="15"/>
        <v>1190000</v>
      </c>
      <c r="AJ40" s="306">
        <f t="shared" si="16"/>
        <v>210000</v>
      </c>
      <c r="AK40" s="306">
        <f t="shared" si="17"/>
        <v>70000</v>
      </c>
      <c r="AL40" s="306">
        <f t="shared" si="18"/>
        <v>35000</v>
      </c>
      <c r="AM40" s="185">
        <f t="shared" si="77"/>
        <v>1505000</v>
      </c>
      <c r="AN40" s="306">
        <f t="shared" si="1"/>
        <v>140000</v>
      </c>
      <c r="AO40" s="306">
        <f t="shared" si="20"/>
        <v>560000</v>
      </c>
      <c r="AP40" s="306">
        <f t="shared" si="21"/>
        <v>105000</v>
      </c>
      <c r="AQ40" s="306">
        <f t="shared" si="22"/>
        <v>70000</v>
      </c>
      <c r="AR40" s="185">
        <f t="shared" si="78"/>
        <v>735000</v>
      </c>
      <c r="AS40" s="306">
        <f t="shared" si="24"/>
        <v>0</v>
      </c>
      <c r="AT40" s="306">
        <f t="shared" si="25"/>
        <v>15500000</v>
      </c>
      <c r="AU40" s="223"/>
      <c r="AV40" s="223">
        <f t="shared" si="79"/>
        <v>0</v>
      </c>
      <c r="AW40" s="223">
        <f t="shared" si="80"/>
        <v>15500000</v>
      </c>
      <c r="AX40" s="223">
        <f t="shared" si="28"/>
        <v>7770000</v>
      </c>
      <c r="AY40" s="223">
        <f t="shared" si="81"/>
        <v>0</v>
      </c>
      <c r="AZ40" s="223">
        <f t="shared" si="2"/>
        <v>0</v>
      </c>
      <c r="BA40" s="223">
        <f>+VLOOKUP($B40,'Bảng thông tin'!$B:$R,16,0)</f>
        <v>0</v>
      </c>
      <c r="BB40" s="335">
        <f t="shared" si="30"/>
        <v>9764120</v>
      </c>
      <c r="BC40" s="362"/>
      <c r="BD40" s="360"/>
    </row>
    <row r="41" spans="1:57" s="336" customFormat="1" ht="20.25" customHeight="1" x14ac:dyDescent="0.25">
      <c r="A41" s="219">
        <v>38</v>
      </c>
      <c r="B41" s="347" t="s">
        <v>311</v>
      </c>
      <c r="C41" s="348" t="str">
        <f>+VLOOKUP($B41,'Bảng thông tin'!$B$4:$R$1002,2,0)</f>
        <v>Nguyễn Thị Ngọc</v>
      </c>
      <c r="D41" s="329" t="str">
        <f>+VLOOKUP($B41,'Bảng thông tin'!$B$4:$R$1002,3,0)</f>
        <v>HĐTV</v>
      </c>
      <c r="E41" s="331" t="s">
        <v>185</v>
      </c>
      <c r="F41" s="226" t="s">
        <v>57</v>
      </c>
      <c r="G41" s="221" t="str">
        <f>+VLOOKUP($B41,'Bảng thông tin'!$B$4:$R$1002,7,0)</f>
        <v/>
      </c>
      <c r="H41" s="333">
        <f>+VLOOKUP($B41,'Bảng thông tin'!$B$4:$R$1002,8,0)</f>
        <v>7000000</v>
      </c>
      <c r="I41" s="333">
        <f>+VLOOKUP($B41,'Bảng thông tin'!$B$4:$R$1002,9,0)</f>
        <v>1000000</v>
      </c>
      <c r="J41" s="333">
        <f>+VLOOKUP($B41,'Bảng thông tin'!$B$4:$R$1002,10,0)</f>
        <v>1000000</v>
      </c>
      <c r="K41" s="333">
        <f>+VLOOKUP($B41,'Bảng thông tin'!$B$4:$R$1002,11,0)</f>
        <v>500000</v>
      </c>
      <c r="L41" s="333">
        <f>+VLOOKUP($B41,'Bảng thông tin'!$B$4:$R$1002,12,0)</f>
        <v>300000</v>
      </c>
      <c r="M41" s="334">
        <f>+VLOOKUP($B41,'Bảng thông tin'!$B$4:$R$1002,13,0)</f>
        <v>400000</v>
      </c>
      <c r="N41" s="333">
        <f>+VLOOKUP($B41,'Bảng thông tin'!$B$4:$R$1002,14,0)</f>
        <v>10200000</v>
      </c>
      <c r="O41" s="325">
        <f>VLOOKUP($B41,BCC!$B$11:$AN$1032,35,0)</f>
        <v>26</v>
      </c>
      <c r="P41" s="222">
        <f>VLOOKUP($B41,BCC!$B$11:$AN$1032,38,0)+VLOOKUP($B41,BCC!$B$11:$AN$1032,39,0)</f>
        <v>0</v>
      </c>
      <c r="Q41" s="223">
        <f t="shared" si="50"/>
        <v>0</v>
      </c>
      <c r="R41" s="325">
        <f>VLOOKUP($B41,BCC!$B$11:$AN$1032,36,0)</f>
        <v>2.9800000000000004</v>
      </c>
      <c r="S41" s="223">
        <f t="shared" si="4"/>
        <v>171923</v>
      </c>
      <c r="T41" s="222">
        <f>VLOOKUP($B41,BCC!$B$11:$AN$1032,37,0)</f>
        <v>0</v>
      </c>
      <c r="U41" s="223">
        <f t="shared" si="5"/>
        <v>0</v>
      </c>
      <c r="V41" s="306">
        <f t="shared" si="6"/>
        <v>5950000</v>
      </c>
      <c r="W41" s="306">
        <f t="shared" si="0"/>
        <v>850000</v>
      </c>
      <c r="X41" s="306">
        <f t="shared" ref="X41:X43" si="83">(J41/26)*$O41</f>
        <v>1000000</v>
      </c>
      <c r="Y41" s="306">
        <f t="shared" ref="Y41:Y43" si="84">(K41/26)*$O41</f>
        <v>500000</v>
      </c>
      <c r="Z41" s="306">
        <f t="shared" ref="Z41:Z43" si="85">(L41/26)*$O41</f>
        <v>300000</v>
      </c>
      <c r="AA41" s="310">
        <f t="shared" ref="AA41:AA43" si="86">IF($D41="HĐTV",0,(M41))</f>
        <v>0</v>
      </c>
      <c r="AB41" s="223">
        <f>VLOOKUP($B41,'Bảng thông tin'!$B:$R,15,0)+VLOOKUP(B41,'Bảng thông tin'!$B:$Q,16,0)</f>
        <v>0</v>
      </c>
      <c r="AC41" s="223">
        <f t="shared" si="9"/>
        <v>8771923</v>
      </c>
      <c r="AD41" s="306">
        <f t="shared" si="73"/>
        <v>0</v>
      </c>
      <c r="AE41" s="306">
        <f t="shared" si="74"/>
        <v>0</v>
      </c>
      <c r="AF41" s="306">
        <f t="shared" si="75"/>
        <v>0</v>
      </c>
      <c r="AG41" s="223">
        <f t="shared" si="13"/>
        <v>171923</v>
      </c>
      <c r="AH41" s="306">
        <f t="shared" si="76"/>
        <v>171923</v>
      </c>
      <c r="AI41" s="306">
        <f t="shared" si="15"/>
        <v>0</v>
      </c>
      <c r="AJ41" s="306">
        <f t="shared" si="16"/>
        <v>0</v>
      </c>
      <c r="AK41" s="306">
        <f t="shared" si="17"/>
        <v>0</v>
      </c>
      <c r="AL41" s="306">
        <f t="shared" si="18"/>
        <v>0</v>
      </c>
      <c r="AM41" s="306">
        <f t="shared" si="77"/>
        <v>0</v>
      </c>
      <c r="AN41" s="306">
        <f t="shared" si="1"/>
        <v>0</v>
      </c>
      <c r="AO41" s="306">
        <f t="shared" si="20"/>
        <v>0</v>
      </c>
      <c r="AP41" s="306">
        <f t="shared" si="21"/>
        <v>0</v>
      </c>
      <c r="AQ41" s="306">
        <f t="shared" si="22"/>
        <v>0</v>
      </c>
      <c r="AR41" s="306">
        <f t="shared" si="78"/>
        <v>0</v>
      </c>
      <c r="AS41" s="306">
        <f t="shared" si="24"/>
        <v>0</v>
      </c>
      <c r="AT41" s="306">
        <f t="shared" si="25"/>
        <v>0</v>
      </c>
      <c r="AU41" s="306"/>
      <c r="AV41" s="306">
        <f t="shared" si="79"/>
        <v>0</v>
      </c>
      <c r="AW41" s="306">
        <f t="shared" si="80"/>
        <v>0</v>
      </c>
      <c r="AX41" s="223">
        <f t="shared" si="28"/>
        <v>8600000</v>
      </c>
      <c r="AY41" s="306">
        <f t="shared" si="81"/>
        <v>8600000</v>
      </c>
      <c r="AZ41" s="306">
        <f>ROUND(IF(D41="HĐLĐ",IF(AY41&lt;=10000000,AY41*5%,IF(AY41&lt;=30000000,AY41*10%-500000,IF(AY41&lt;=60000000,AY41*20%-3500000,IF(AY41&lt;=100000000,AY41*30%-9500000,AY41*35%-14500000)))),IF(D41="HĐTV",IF(AX41&lt;=2000000,0,AY41*10%))),0)</f>
        <v>860000</v>
      </c>
      <c r="BA41" s="306">
        <f>+VLOOKUP($B41,'Bảng thông tin'!$B:$R,16,0)</f>
        <v>0</v>
      </c>
      <c r="BB41" s="335">
        <f t="shared" si="30"/>
        <v>7911923</v>
      </c>
    </row>
    <row r="42" spans="1:57" s="231" customFormat="1" ht="20.25" customHeight="1" x14ac:dyDescent="0.25">
      <c r="A42" s="219">
        <v>39</v>
      </c>
      <c r="B42" s="347" t="s">
        <v>328</v>
      </c>
      <c r="C42" s="349" t="s">
        <v>325</v>
      </c>
      <c r="D42" s="329" t="str">
        <f>+VLOOKUP($B42,'Bảng thông tin'!$B$4:$R$1002,3,0)</f>
        <v>HĐTV</v>
      </c>
      <c r="E42" s="331" t="s">
        <v>185</v>
      </c>
      <c r="F42" s="332" t="s">
        <v>58</v>
      </c>
      <c r="G42" s="221"/>
      <c r="H42" s="333">
        <f>+VLOOKUP($B42,'Bảng thông tin'!$B$4:$R$1002,8,0)</f>
        <v>6500000</v>
      </c>
      <c r="I42" s="333">
        <f>+VLOOKUP($B42,'Bảng thông tin'!$B$4:$R$1002,9,0)</f>
        <v>1000000</v>
      </c>
      <c r="J42" s="333">
        <f>+VLOOKUP($B42,'Bảng thông tin'!$B$4:$R$1002,10,0)</f>
        <v>1000000</v>
      </c>
      <c r="K42" s="333">
        <f>+VLOOKUP($B42,'Bảng thông tin'!$B$4:$R$1002,11,0)</f>
        <v>500000</v>
      </c>
      <c r="L42" s="333">
        <f>+VLOOKUP($B42,'Bảng thông tin'!$B$4:$R$1002,12,0)</f>
        <v>400000</v>
      </c>
      <c r="M42" s="334">
        <f>+VLOOKUP($B42,'Bảng thông tin'!$B$4:$R$1002,13,0)</f>
        <v>400000</v>
      </c>
      <c r="N42" s="333">
        <f>+VLOOKUP($B42,'Bảng thông tin'!$B$4:$R$1002,14,0)</f>
        <v>9800000</v>
      </c>
      <c r="O42" s="325">
        <f>VLOOKUP($B42,BCC!$B$11:$AN$1032,35,0)</f>
        <v>14</v>
      </c>
      <c r="P42" s="222">
        <f>VLOOKUP($B42,BCC!$B$11:$AN$1032,38,0)+VLOOKUP($B42,BCC!$B$11:$AN$1032,39,0)</f>
        <v>0</v>
      </c>
      <c r="Q42" s="223">
        <f t="shared" si="50"/>
        <v>0</v>
      </c>
      <c r="R42" s="325">
        <f>VLOOKUP($B42,BCC!$B$11:$AN$1032,36,0)</f>
        <v>0</v>
      </c>
      <c r="S42" s="223">
        <f t="shared" si="4"/>
        <v>0</v>
      </c>
      <c r="T42" s="222">
        <f>VLOOKUP($B42,BCC!$B$11:$AN$1032,37,0)</f>
        <v>0</v>
      </c>
      <c r="U42" s="223">
        <f t="shared" si="5"/>
        <v>0</v>
      </c>
      <c r="V42" s="306">
        <f>IF($D42="HĐTV",(H42/26)*$O42*0.85,(H42/26)*$O42)</f>
        <v>2975000</v>
      </c>
      <c r="W42" s="306">
        <f t="shared" si="0"/>
        <v>457692.30769230769</v>
      </c>
      <c r="X42" s="306">
        <f t="shared" si="83"/>
        <v>538461.5384615385</v>
      </c>
      <c r="Y42" s="306">
        <f t="shared" si="84"/>
        <v>269230.76923076925</v>
      </c>
      <c r="Z42" s="306">
        <f t="shared" si="85"/>
        <v>215384.61538461538</v>
      </c>
      <c r="AA42" s="310">
        <f t="shared" si="86"/>
        <v>0</v>
      </c>
      <c r="AB42" s="223">
        <f>VLOOKUP($B42,'Bảng thông tin'!$B:$R,15,0)+VLOOKUP(B42,'Bảng thông tin'!$B:$Q,16,0)</f>
        <v>0</v>
      </c>
      <c r="AC42" s="223">
        <f t="shared" si="9"/>
        <v>4455769.2307692301</v>
      </c>
      <c r="AD42" s="306">
        <f t="shared" ref="AD42:AD43" si="87">IF($D42="HĐTV",0,IF(X42&lt;=730000,X42,X42-(X42-730000)))</f>
        <v>0</v>
      </c>
      <c r="AE42" s="306">
        <f t="shared" ref="AE42:AE43" si="88">IF($D42="HĐTV",0,Z42)</f>
        <v>0</v>
      </c>
      <c r="AF42" s="306">
        <f t="shared" ref="AF42:AF43" si="89">IF($D42="HĐTV",0,IF(AA42&lt;=(5000000/12),AA42,AA42-(AA42-(5000000/12))))</f>
        <v>0</v>
      </c>
      <c r="AG42" s="223">
        <f t="shared" si="13"/>
        <v>0</v>
      </c>
      <c r="AH42" s="306">
        <f t="shared" ref="AH42:AH43" si="90">+SUM(AD42:AG42)</f>
        <v>0</v>
      </c>
      <c r="AI42" s="306">
        <f t="shared" si="15"/>
        <v>0</v>
      </c>
      <c r="AJ42" s="306">
        <f t="shared" si="16"/>
        <v>0</v>
      </c>
      <c r="AK42" s="306">
        <f t="shared" si="17"/>
        <v>0</v>
      </c>
      <c r="AL42" s="306">
        <f t="shared" si="18"/>
        <v>0</v>
      </c>
      <c r="AM42" s="306">
        <f t="shared" ref="AM42:AM43" si="91">IFERROR(SUM(AI42:AL42),0)</f>
        <v>0</v>
      </c>
      <c r="AN42" s="306">
        <f t="shared" si="1"/>
        <v>0</v>
      </c>
      <c r="AO42" s="306">
        <f t="shared" si="20"/>
        <v>0</v>
      </c>
      <c r="AP42" s="306">
        <f t="shared" si="21"/>
        <v>0</v>
      </c>
      <c r="AQ42" s="306">
        <f t="shared" si="22"/>
        <v>0</v>
      </c>
      <c r="AR42" s="306">
        <f t="shared" ref="AR42:AR43" si="92">SUM(AO42:AQ42)</f>
        <v>0</v>
      </c>
      <c r="AS42" s="306">
        <f t="shared" si="24"/>
        <v>0</v>
      </c>
      <c r="AT42" s="306">
        <f t="shared" si="25"/>
        <v>0</v>
      </c>
      <c r="AU42" s="306"/>
      <c r="AV42" s="306">
        <f t="shared" ref="AV42:AV43" si="93">+AU42*6200000</f>
        <v>0</v>
      </c>
      <c r="AW42" s="306">
        <f t="shared" ref="AW42:AW43" si="94">+AT42+AV42</f>
        <v>0</v>
      </c>
      <c r="AX42" s="223">
        <f t="shared" si="28"/>
        <v>4455769</v>
      </c>
      <c r="AY42" s="306">
        <f t="shared" ref="AY42:AY43" si="95">IF(AX42-AW42-AR42-AS42&lt;0,0,AX42-AW42-AR42-AS42)</f>
        <v>4455769</v>
      </c>
      <c r="AZ42" s="306">
        <f t="shared" ref="AZ42:AZ43" si="96">ROUND(IF(D42="HĐLĐ",IF(AY42&lt;=10000000,AY42*5%,IF(AY42&lt;=30000000,AY42*10%-500000,IF(AY42&lt;=60000000,AY42*20%-3500000,IF(AY42&lt;=100000000,AY42*30%-9500000,AY42*35%-14500000)))),IF(D42="HĐTV",IF(AX42&lt;=2000000,0,AY42*10%))),0)</f>
        <v>445577</v>
      </c>
      <c r="BA42" s="306">
        <f>+VLOOKUP($B42,'Bảng thông tin'!$B:$R,16,0)</f>
        <v>0</v>
      </c>
      <c r="BB42" s="335">
        <f t="shared" ref="BB42:BB43" si="97">ROUND(AC42-AZ42-AR42-AS42-BA42,0)</f>
        <v>4010192</v>
      </c>
      <c r="BD42" s="360"/>
      <c r="BE42" s="360"/>
    </row>
    <row r="43" spans="1:57" s="231" customFormat="1" ht="20.25" customHeight="1" x14ac:dyDescent="0.25">
      <c r="A43" s="219">
        <v>40</v>
      </c>
      <c r="B43" s="347" t="s">
        <v>329</v>
      </c>
      <c r="C43" s="349" t="s">
        <v>330</v>
      </c>
      <c r="D43" s="329" t="str">
        <f>+VLOOKUP($B43,'Bảng thông tin'!$B$4:$R$1002,3,0)</f>
        <v>HĐTV</v>
      </c>
      <c r="E43" s="331" t="s">
        <v>185</v>
      </c>
      <c r="F43" s="332" t="s">
        <v>58</v>
      </c>
      <c r="G43" s="221"/>
      <c r="H43" s="333">
        <f>+VLOOKUP($B43,'Bảng thông tin'!$B$4:$R$1002,8,0)</f>
        <v>6500000</v>
      </c>
      <c r="I43" s="333">
        <f>+VLOOKUP($B43,'Bảng thông tin'!$B$4:$R$1002,9,0)</f>
        <v>1000000</v>
      </c>
      <c r="J43" s="333">
        <f>+VLOOKUP($B43,'Bảng thông tin'!$B$4:$R$1002,10,0)</f>
        <v>1000000</v>
      </c>
      <c r="K43" s="333">
        <f>+VLOOKUP($B43,'Bảng thông tin'!$B$4:$R$1002,11,0)</f>
        <v>500000</v>
      </c>
      <c r="L43" s="333">
        <f>+VLOOKUP($B43,'Bảng thông tin'!$B$4:$R$1002,12,0)</f>
        <v>400000</v>
      </c>
      <c r="M43" s="334">
        <f>+VLOOKUP($B43,'Bảng thông tin'!$B$4:$R$1002,13,0)</f>
        <v>400000</v>
      </c>
      <c r="N43" s="333">
        <f>+VLOOKUP($B43,'Bảng thông tin'!$B$4:$R$1002,14,0)</f>
        <v>9800000</v>
      </c>
      <c r="O43" s="325">
        <f>VLOOKUP($B43,BCC!$B$11:$AN$1032,35,0)</f>
        <v>14</v>
      </c>
      <c r="P43" s="222">
        <f>VLOOKUP($B43,BCC!$B$11:$AN$1032,38,0)+VLOOKUP($B43,BCC!$B$11:$AN$1032,39,0)</f>
        <v>0</v>
      </c>
      <c r="Q43" s="223">
        <f t="shared" si="50"/>
        <v>0</v>
      </c>
      <c r="R43" s="325">
        <f>VLOOKUP($B43,BCC!$B$11:$AN$1032,36,0)</f>
        <v>0</v>
      </c>
      <c r="S43" s="223">
        <f t="shared" si="4"/>
        <v>0</v>
      </c>
      <c r="T43" s="222">
        <f>VLOOKUP($B43,BCC!$B$11:$AN$1032,37,0)</f>
        <v>0</v>
      </c>
      <c r="U43" s="223">
        <f t="shared" si="5"/>
        <v>0</v>
      </c>
      <c r="V43" s="306">
        <f>IF($D43="HĐTV",(H43/26)*$O43*0.85,(H43/26)*$O43)</f>
        <v>2975000</v>
      </c>
      <c r="W43" s="306">
        <f t="shared" ref="W43" si="98">IF($D43="HĐTV",(I43/26)*$O43*0.85,($I43/26)*$O43)</f>
        <v>457692.30769230769</v>
      </c>
      <c r="X43" s="306">
        <f t="shared" si="83"/>
        <v>538461.5384615385</v>
      </c>
      <c r="Y43" s="306">
        <f t="shared" si="84"/>
        <v>269230.76923076925</v>
      </c>
      <c r="Z43" s="306">
        <f t="shared" si="85"/>
        <v>215384.61538461538</v>
      </c>
      <c r="AA43" s="310">
        <f t="shared" si="86"/>
        <v>0</v>
      </c>
      <c r="AB43" s="223">
        <f>VLOOKUP($B43,'Bảng thông tin'!$B:$R,15,0)+VLOOKUP(B43,'Bảng thông tin'!$B:$Q,16,0)</f>
        <v>0</v>
      </c>
      <c r="AC43" s="223">
        <f t="shared" si="9"/>
        <v>4455769.2307692301</v>
      </c>
      <c r="AD43" s="306">
        <f t="shared" si="87"/>
        <v>0</v>
      </c>
      <c r="AE43" s="306">
        <f t="shared" si="88"/>
        <v>0</v>
      </c>
      <c r="AF43" s="306">
        <f t="shared" si="89"/>
        <v>0</v>
      </c>
      <c r="AG43" s="223">
        <f t="shared" si="13"/>
        <v>0</v>
      </c>
      <c r="AH43" s="306">
        <f t="shared" si="90"/>
        <v>0</v>
      </c>
      <c r="AI43" s="306">
        <f t="shared" si="15"/>
        <v>0</v>
      </c>
      <c r="AJ43" s="306">
        <f t="shared" si="16"/>
        <v>0</v>
      </c>
      <c r="AK43" s="306">
        <f t="shared" si="17"/>
        <v>0</v>
      </c>
      <c r="AL43" s="306">
        <f t="shared" si="18"/>
        <v>0</v>
      </c>
      <c r="AM43" s="306">
        <f t="shared" si="91"/>
        <v>0</v>
      </c>
      <c r="AN43" s="306">
        <f t="shared" si="1"/>
        <v>0</v>
      </c>
      <c r="AO43" s="306">
        <f t="shared" si="20"/>
        <v>0</v>
      </c>
      <c r="AP43" s="306">
        <f t="shared" si="21"/>
        <v>0</v>
      </c>
      <c r="AQ43" s="306">
        <f t="shared" si="22"/>
        <v>0</v>
      </c>
      <c r="AR43" s="306">
        <f t="shared" si="92"/>
        <v>0</v>
      </c>
      <c r="AS43" s="306">
        <f t="shared" si="24"/>
        <v>0</v>
      </c>
      <c r="AT43" s="306">
        <f t="shared" si="25"/>
        <v>0</v>
      </c>
      <c r="AU43" s="306"/>
      <c r="AV43" s="306">
        <f t="shared" si="93"/>
        <v>0</v>
      </c>
      <c r="AW43" s="306">
        <f t="shared" si="94"/>
        <v>0</v>
      </c>
      <c r="AX43" s="223">
        <f t="shared" si="28"/>
        <v>4455769</v>
      </c>
      <c r="AY43" s="306">
        <f t="shared" si="95"/>
        <v>4455769</v>
      </c>
      <c r="AZ43" s="306">
        <f t="shared" si="96"/>
        <v>445577</v>
      </c>
      <c r="BA43" s="306">
        <f>+VLOOKUP($B43,'Bảng thông tin'!$B:$R,16,0)</f>
        <v>0</v>
      </c>
      <c r="BB43" s="335">
        <f t="shared" si="97"/>
        <v>4010192</v>
      </c>
      <c r="BD43" s="360"/>
      <c r="BE43" s="360"/>
    </row>
    <row r="44" spans="1:57" s="336" customFormat="1" ht="20.25" customHeight="1" x14ac:dyDescent="0.25">
      <c r="A44" s="337"/>
      <c r="B44" s="330"/>
      <c r="C44" s="338"/>
      <c r="D44" s="339"/>
      <c r="E44" s="340"/>
      <c r="F44" s="332"/>
      <c r="G44" s="333"/>
      <c r="H44" s="333"/>
      <c r="I44" s="333"/>
      <c r="J44" s="333"/>
      <c r="K44" s="333"/>
      <c r="L44" s="333"/>
      <c r="M44" s="334"/>
      <c r="N44" s="333"/>
      <c r="O44" s="325"/>
      <c r="P44" s="325"/>
      <c r="Q44" s="306"/>
      <c r="R44" s="325"/>
      <c r="S44" s="306"/>
      <c r="T44" s="306"/>
      <c r="U44" s="306"/>
      <c r="V44" s="306"/>
      <c r="W44" s="306"/>
      <c r="X44" s="306"/>
      <c r="Y44" s="306"/>
      <c r="Z44" s="306"/>
      <c r="AA44" s="310"/>
      <c r="AB44" s="306"/>
      <c r="AC44" s="306"/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35"/>
    </row>
    <row r="45" spans="1:57" s="336" customFormat="1" ht="20.25" customHeight="1" x14ac:dyDescent="0.25">
      <c r="A45" s="337"/>
      <c r="B45" s="330"/>
      <c r="C45" s="338"/>
      <c r="D45" s="339"/>
      <c r="E45" s="340"/>
      <c r="F45" s="332"/>
      <c r="G45" s="333"/>
      <c r="H45" s="333"/>
      <c r="I45" s="333"/>
      <c r="J45" s="333"/>
      <c r="K45" s="333"/>
      <c r="L45" s="333"/>
      <c r="M45" s="334"/>
      <c r="N45" s="333"/>
      <c r="O45" s="325"/>
      <c r="P45" s="325"/>
      <c r="Q45" s="306"/>
      <c r="R45" s="325"/>
      <c r="S45" s="306"/>
      <c r="T45" s="306"/>
      <c r="U45" s="306"/>
      <c r="V45" s="306"/>
      <c r="W45" s="306"/>
      <c r="X45" s="306"/>
      <c r="Y45" s="306"/>
      <c r="Z45" s="306"/>
      <c r="AA45" s="310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35"/>
    </row>
    <row r="46" spans="1:57" s="336" customFormat="1" ht="20.25" customHeight="1" x14ac:dyDescent="0.25">
      <c r="A46" s="337"/>
      <c r="B46" s="330"/>
      <c r="C46" s="338"/>
      <c r="D46" s="339"/>
      <c r="E46" s="340"/>
      <c r="F46" s="332"/>
      <c r="G46" s="333"/>
      <c r="H46" s="333"/>
      <c r="I46" s="333"/>
      <c r="J46" s="333"/>
      <c r="K46" s="333"/>
      <c r="L46" s="333"/>
      <c r="M46" s="334"/>
      <c r="N46" s="333"/>
      <c r="O46" s="325"/>
      <c r="P46" s="325"/>
      <c r="Q46" s="306"/>
      <c r="R46" s="325"/>
      <c r="S46" s="306"/>
      <c r="T46" s="306"/>
      <c r="U46" s="306"/>
      <c r="V46" s="306"/>
      <c r="W46" s="306"/>
      <c r="X46" s="306"/>
      <c r="Y46" s="306"/>
      <c r="Z46" s="306"/>
      <c r="AA46" s="310"/>
      <c r="AB46" s="306"/>
      <c r="AC46" s="306"/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35"/>
    </row>
    <row r="47" spans="1:57" s="11" customFormat="1" ht="20.25" customHeight="1" x14ac:dyDescent="0.25">
      <c r="A47" s="138" t="s">
        <v>88</v>
      </c>
      <c r="B47" s="55"/>
      <c r="C47" s="55"/>
      <c r="D47" s="55"/>
      <c r="E47" s="56"/>
      <c r="F47" s="29"/>
      <c r="G47" s="326">
        <f t="shared" ref="G47:O47" si="99">SUM(G4:G43)</f>
        <v>291500000</v>
      </c>
      <c r="H47" s="326">
        <f t="shared" si="99"/>
        <v>282000000</v>
      </c>
      <c r="I47" s="326">
        <f t="shared" si="99"/>
        <v>32500000</v>
      </c>
      <c r="J47" s="326">
        <f t="shared" si="99"/>
        <v>50200000</v>
      </c>
      <c r="K47" s="326">
        <f t="shared" si="99"/>
        <v>20000000</v>
      </c>
      <c r="L47" s="326">
        <f t="shared" si="99"/>
        <v>19800000</v>
      </c>
      <c r="M47" s="326">
        <f t="shared" si="99"/>
        <v>15900000</v>
      </c>
      <c r="N47" s="326">
        <f t="shared" si="99"/>
        <v>420400000</v>
      </c>
      <c r="O47" s="326">
        <f t="shared" si="99"/>
        <v>980.5</v>
      </c>
      <c r="P47" s="326">
        <f t="shared" ref="P47:BB47" si="100">SUM(P4:P43)</f>
        <v>23</v>
      </c>
      <c r="Q47" s="326">
        <f t="shared" si="100"/>
        <v>6461538.461538462</v>
      </c>
      <c r="R47" s="326">
        <f t="shared" si="100"/>
        <v>624.27799999999991</v>
      </c>
      <c r="S47" s="326">
        <f t="shared" si="100"/>
        <v>33107225</v>
      </c>
      <c r="T47" s="326">
        <f t="shared" si="100"/>
        <v>72.58</v>
      </c>
      <c r="U47" s="326">
        <f t="shared" si="100"/>
        <v>5115964</v>
      </c>
      <c r="V47" s="326">
        <f t="shared" si="100"/>
        <v>264630769.23076922</v>
      </c>
      <c r="W47" s="326">
        <f t="shared" si="100"/>
        <v>30255769.230769228</v>
      </c>
      <c r="X47" s="326">
        <f t="shared" si="100"/>
        <v>47476923.076923072</v>
      </c>
      <c r="Y47" s="326">
        <f t="shared" si="100"/>
        <v>18817307.692307688</v>
      </c>
      <c r="Z47" s="326">
        <f t="shared" si="100"/>
        <v>18967307.692307688</v>
      </c>
      <c r="AA47" s="326">
        <f t="shared" si="100"/>
        <v>14700000</v>
      </c>
      <c r="AB47" s="326">
        <f t="shared" si="100"/>
        <v>800000</v>
      </c>
      <c r="AC47" s="326">
        <f t="shared" si="100"/>
        <v>440332804.38461536</v>
      </c>
      <c r="AD47" s="326">
        <f t="shared" si="100"/>
        <v>44705384.615384616</v>
      </c>
      <c r="AE47" s="326">
        <f t="shared" si="100"/>
        <v>18236538.461538456</v>
      </c>
      <c r="AF47" s="326">
        <f t="shared" si="100"/>
        <v>14700000</v>
      </c>
      <c r="AG47" s="326">
        <f t="shared" si="100"/>
        <v>38223189</v>
      </c>
      <c r="AH47" s="326">
        <f t="shared" si="100"/>
        <v>115865112.07692309</v>
      </c>
      <c r="AI47" s="326">
        <f t="shared" si="100"/>
        <v>49555000</v>
      </c>
      <c r="AJ47" s="326">
        <f t="shared" si="100"/>
        <v>8745000</v>
      </c>
      <c r="AK47" s="326">
        <f t="shared" si="100"/>
        <v>2915000</v>
      </c>
      <c r="AL47" s="326">
        <f t="shared" si="100"/>
        <v>1457500</v>
      </c>
      <c r="AM47" s="326">
        <f t="shared" si="100"/>
        <v>62672500</v>
      </c>
      <c r="AN47" s="326">
        <f t="shared" si="100"/>
        <v>5830000</v>
      </c>
      <c r="AO47" s="326">
        <f t="shared" si="100"/>
        <v>23320000</v>
      </c>
      <c r="AP47" s="326">
        <f t="shared" si="100"/>
        <v>4372500</v>
      </c>
      <c r="AQ47" s="326">
        <f t="shared" si="100"/>
        <v>2915000</v>
      </c>
      <c r="AR47" s="326">
        <f t="shared" si="100"/>
        <v>30607500</v>
      </c>
      <c r="AS47" s="326">
        <f t="shared" si="100"/>
        <v>0</v>
      </c>
      <c r="AT47" s="326">
        <f t="shared" si="100"/>
        <v>573500000</v>
      </c>
      <c r="AU47" s="326">
        <f t="shared" si="100"/>
        <v>0</v>
      </c>
      <c r="AV47" s="326">
        <f t="shared" si="100"/>
        <v>0</v>
      </c>
      <c r="AW47" s="326">
        <f t="shared" si="100"/>
        <v>573500000</v>
      </c>
      <c r="AX47" s="326">
        <f t="shared" si="100"/>
        <v>324467689</v>
      </c>
      <c r="AY47" s="326">
        <f t="shared" si="100"/>
        <v>18121538</v>
      </c>
      <c r="AZ47" s="326">
        <f t="shared" si="100"/>
        <v>1781654</v>
      </c>
      <c r="BA47" s="326">
        <f t="shared" si="100"/>
        <v>0</v>
      </c>
      <c r="BB47" s="326">
        <f t="shared" si="100"/>
        <v>407943649</v>
      </c>
      <c r="BC47" s="357"/>
    </row>
    <row r="48" spans="1:57" x14ac:dyDescent="0.25">
      <c r="G48" s="32"/>
      <c r="H48" s="32"/>
      <c r="I48" s="32"/>
      <c r="J48" s="32"/>
      <c r="K48" s="32"/>
      <c r="L48" s="32"/>
      <c r="M48" s="3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Z48" s="5"/>
      <c r="BA48" s="5"/>
    </row>
    <row r="49" spans="15:18" x14ac:dyDescent="0.25">
      <c r="O49" s="9">
        <f>O47-BCC!AJ96</f>
        <v>980.5</v>
      </c>
      <c r="R49" s="6">
        <f>R47-BCC!AK96</f>
        <v>624.27799999999991</v>
      </c>
    </row>
  </sheetData>
  <autoFilter ref="A3:BB47" xr:uid="{00000000-0001-0000-0100-000000000000}"/>
  <mergeCells count="28">
    <mergeCell ref="AH1:AH2"/>
    <mergeCell ref="AD1:AG1"/>
    <mergeCell ref="AT1:AW1"/>
    <mergeCell ref="AI1:AN1"/>
    <mergeCell ref="AO1:AS1"/>
    <mergeCell ref="BB1:BB2"/>
    <mergeCell ref="BA1:BA2"/>
    <mergeCell ref="AZ1:AZ2"/>
    <mergeCell ref="AY1:AY2"/>
    <mergeCell ref="AX1:AX2"/>
    <mergeCell ref="G1:G2"/>
    <mergeCell ref="AC1:AC2"/>
    <mergeCell ref="AB1:AB2"/>
    <mergeCell ref="R1:S1"/>
    <mergeCell ref="P1:Q1"/>
    <mergeCell ref="O1:O2"/>
    <mergeCell ref="N1:N2"/>
    <mergeCell ref="J1:M1"/>
    <mergeCell ref="H1:I1"/>
    <mergeCell ref="V1:W1"/>
    <mergeCell ref="X1:AA1"/>
    <mergeCell ref="T1:U1"/>
    <mergeCell ref="F1:F2"/>
    <mergeCell ref="A1:A2"/>
    <mergeCell ref="B1:B2"/>
    <mergeCell ref="C1:C2"/>
    <mergeCell ref="D1:D2"/>
    <mergeCell ref="E1:E2"/>
  </mergeCells>
  <phoneticPr fontId="28" type="noConversion"/>
  <conditionalFormatting sqref="B1:B2 B4:B1048576">
    <cfRule type="duplicateValues" dxfId="31" priority="1"/>
  </conditionalFormatting>
  <pageMargins left="0" right="0" top="0" bottom="0" header="0.3" footer="0.3"/>
  <pageSetup paperSize="9" scale="6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6069-7D1C-47E4-A2B4-1D6BE03F04C7}">
  <sheetPr>
    <tabColor rgb="FFFF9900"/>
  </sheetPr>
  <dimension ref="B1:R51"/>
  <sheetViews>
    <sheetView topLeftCell="A26" zoomScale="85" zoomScaleNormal="85" workbookViewId="0">
      <selection activeCell="E50" sqref="E50"/>
    </sheetView>
  </sheetViews>
  <sheetFormatPr defaultRowHeight="15" x14ac:dyDescent="0.25"/>
  <cols>
    <col min="1" max="1" width="3.42578125" customWidth="1"/>
    <col min="2" max="2" width="6.85546875" customWidth="1"/>
    <col min="3" max="3" width="33.28515625" customWidth="1"/>
    <col min="4" max="4" width="24.85546875" customWidth="1"/>
    <col min="5" max="5" width="36.42578125" customWidth="1"/>
    <col min="6" max="6" width="20.7109375" style="257" customWidth="1"/>
  </cols>
  <sheetData>
    <row r="1" spans="2:6" s="275" customFormat="1" ht="23.25" x14ac:dyDescent="0.35">
      <c r="B1" s="398" t="s">
        <v>352</v>
      </c>
      <c r="C1" s="398"/>
      <c r="D1" s="398"/>
      <c r="E1" s="398"/>
      <c r="F1" s="398"/>
    </row>
    <row r="3" spans="2:6" ht="39.75" customHeight="1" x14ac:dyDescent="0.25">
      <c r="B3" s="263" t="s">
        <v>2</v>
      </c>
      <c r="C3" s="264" t="s">
        <v>243</v>
      </c>
      <c r="D3" s="265" t="s">
        <v>244</v>
      </c>
      <c r="E3" s="264" t="s">
        <v>245</v>
      </c>
      <c r="F3" s="264" t="s">
        <v>300</v>
      </c>
    </row>
    <row r="4" spans="2:6" s="280" customFormat="1" ht="24" customHeight="1" x14ac:dyDescent="0.3">
      <c r="B4" s="276">
        <v>1</v>
      </c>
      <c r="C4" s="277" t="s">
        <v>9</v>
      </c>
      <c r="D4" s="278">
        <v>98131868</v>
      </c>
      <c r="E4" s="279" t="s">
        <v>246</v>
      </c>
      <c r="F4" s="270">
        <f>VLOOKUP(C4,'Bảng tổng hợp'!$C$4:$BB$47,52,0)</f>
        <v>24117962</v>
      </c>
    </row>
    <row r="5" spans="2:6" s="280" customFormat="1" ht="24" customHeight="1" x14ac:dyDescent="0.3">
      <c r="B5" s="276">
        <v>2</v>
      </c>
      <c r="C5" s="277" t="s">
        <v>11</v>
      </c>
      <c r="D5" s="281" t="s">
        <v>247</v>
      </c>
      <c r="E5" s="279" t="s">
        <v>248</v>
      </c>
      <c r="F5" s="270">
        <f>VLOOKUP(C5,'Bảng tổng hợp'!$C$4:$BB$47,52,0)</f>
        <v>18530000</v>
      </c>
    </row>
    <row r="6" spans="2:6" s="280" customFormat="1" ht="24" customHeight="1" x14ac:dyDescent="0.3">
      <c r="B6" s="276">
        <v>3</v>
      </c>
      <c r="C6" s="282" t="s">
        <v>12</v>
      </c>
      <c r="D6" s="283" t="s">
        <v>249</v>
      </c>
      <c r="E6" s="276" t="s">
        <v>250</v>
      </c>
      <c r="F6" s="270">
        <f>VLOOKUP(C6,'Bảng tổng hợp'!$C$4:$BB$47,52,0)</f>
        <v>10707500</v>
      </c>
    </row>
    <row r="7" spans="2:6" s="280" customFormat="1" ht="24" customHeight="1" x14ac:dyDescent="0.3">
      <c r="B7" s="276">
        <v>4</v>
      </c>
      <c r="C7" s="282" t="s">
        <v>14</v>
      </c>
      <c r="D7" s="283" t="s">
        <v>251</v>
      </c>
      <c r="E7" s="276" t="s">
        <v>250</v>
      </c>
      <c r="F7" s="270">
        <f>VLOOKUP(C7,'Bảng tổng hợp'!$C$4:$BB$47,52,0)</f>
        <v>9675385</v>
      </c>
    </row>
    <row r="8" spans="2:6" s="280" customFormat="1" ht="24" customHeight="1" x14ac:dyDescent="0.3">
      <c r="B8" s="276">
        <v>5</v>
      </c>
      <c r="C8" s="277" t="s">
        <v>16</v>
      </c>
      <c r="D8" s="284">
        <v>79966886789</v>
      </c>
      <c r="E8" s="279" t="s">
        <v>292</v>
      </c>
      <c r="F8" s="270">
        <f>VLOOKUP(C8,'Bảng tổng hợp'!$C$4:$BB$47,52,0)</f>
        <v>9945769</v>
      </c>
    </row>
    <row r="9" spans="2:6" s="280" customFormat="1" ht="24" customHeight="1" x14ac:dyDescent="0.3">
      <c r="B9" s="276">
        <v>6</v>
      </c>
      <c r="C9" s="277" t="s">
        <v>18</v>
      </c>
      <c r="D9" s="285" t="s">
        <v>253</v>
      </c>
      <c r="E9" s="279" t="s">
        <v>254</v>
      </c>
      <c r="F9" s="270">
        <f>VLOOKUP(C9,'Bảng tổng hợp'!$C$4:$BB$47,52,0)</f>
        <v>10313438</v>
      </c>
    </row>
    <row r="10" spans="2:6" s="280" customFormat="1" ht="24" customHeight="1" x14ac:dyDescent="0.3">
      <c r="B10" s="276">
        <v>7</v>
      </c>
      <c r="C10" s="282" t="s">
        <v>105</v>
      </c>
      <c r="D10" s="281" t="s">
        <v>255</v>
      </c>
      <c r="E10" s="279" t="s">
        <v>256</v>
      </c>
      <c r="F10" s="270">
        <f>VLOOKUP(C10,'Bảng tổng hợp'!$C$4:$BB$47,52,0)</f>
        <v>9997428</v>
      </c>
    </row>
    <row r="11" spans="2:6" s="280" customFormat="1" ht="24" customHeight="1" x14ac:dyDescent="0.3">
      <c r="B11" s="276">
        <v>8</v>
      </c>
      <c r="C11" s="282" t="s">
        <v>20</v>
      </c>
      <c r="D11" s="283" t="s">
        <v>257</v>
      </c>
      <c r="E11" s="276" t="s">
        <v>252</v>
      </c>
      <c r="F11" s="270">
        <f>VLOOKUP(C11,'Bảng tổng hợp'!$C$4:$BB$47,52,0)</f>
        <v>10499808</v>
      </c>
    </row>
    <row r="12" spans="2:6" s="280" customFormat="1" ht="24" customHeight="1" x14ac:dyDescent="0.3">
      <c r="B12" s="276">
        <v>9</v>
      </c>
      <c r="C12" s="282" t="s">
        <v>22</v>
      </c>
      <c r="D12" s="286">
        <v>19037500195012</v>
      </c>
      <c r="E12" s="276" t="s">
        <v>250</v>
      </c>
      <c r="F12" s="270">
        <f>VLOOKUP(C12,'Bảng tổng hợp'!$C$4:$BB$47,52,0)</f>
        <v>10206154</v>
      </c>
    </row>
    <row r="13" spans="2:6" s="280" customFormat="1" ht="24" customHeight="1" x14ac:dyDescent="0.3">
      <c r="B13" s="276">
        <v>10</v>
      </c>
      <c r="C13" s="282" t="s">
        <v>24</v>
      </c>
      <c r="D13" s="283" t="s">
        <v>258</v>
      </c>
      <c r="E13" s="276" t="s">
        <v>259</v>
      </c>
      <c r="F13" s="270">
        <f>VLOOKUP(C13,'Bảng tổng hợp'!$C$4:$BB$47,52,0)</f>
        <v>10375385</v>
      </c>
    </row>
    <row r="14" spans="2:6" s="280" customFormat="1" ht="24" customHeight="1" x14ac:dyDescent="0.3">
      <c r="B14" s="276">
        <v>11</v>
      </c>
      <c r="C14" s="277" t="s">
        <v>26</v>
      </c>
      <c r="D14" s="287" t="s">
        <v>260</v>
      </c>
      <c r="E14" s="279" t="s">
        <v>248</v>
      </c>
      <c r="F14" s="270">
        <f>VLOOKUP(C14,'Bảng tổng hợp'!$C$4:$BB$47,52,0)</f>
        <v>8972692</v>
      </c>
    </row>
    <row r="15" spans="2:6" s="280" customFormat="1" ht="24" customHeight="1" x14ac:dyDescent="0.3">
      <c r="B15" s="276">
        <v>12</v>
      </c>
      <c r="C15" s="282" t="s">
        <v>28</v>
      </c>
      <c r="D15" s="281" t="s">
        <v>261</v>
      </c>
      <c r="E15" s="279" t="s">
        <v>262</v>
      </c>
      <c r="F15" s="270">
        <f>VLOOKUP(C15,'Bảng tổng hợp'!$C$4:$BB$47,52,0)</f>
        <v>13039892</v>
      </c>
    </row>
    <row r="16" spans="2:6" s="280" customFormat="1" ht="24" customHeight="1" x14ac:dyDescent="0.3">
      <c r="B16" s="276">
        <v>13</v>
      </c>
      <c r="C16" s="282" t="s">
        <v>30</v>
      </c>
      <c r="D16" s="283" t="s">
        <v>263</v>
      </c>
      <c r="E16" s="276" t="s">
        <v>264</v>
      </c>
      <c r="F16" s="270">
        <f>VLOOKUP(C16,'Bảng tổng hợp'!$C$4:$BB$47,52,0)</f>
        <v>12370385</v>
      </c>
    </row>
    <row r="17" spans="2:6" s="280" customFormat="1" ht="24" customHeight="1" x14ac:dyDescent="0.3">
      <c r="B17" s="276">
        <v>14</v>
      </c>
      <c r="C17" s="288" t="s">
        <v>46</v>
      </c>
      <c r="D17" s="289" t="s">
        <v>265</v>
      </c>
      <c r="E17" s="279" t="s">
        <v>262</v>
      </c>
      <c r="F17" s="270">
        <f>VLOOKUP(C17,'Bảng tổng hợp'!$C$4:$BB$47,52,0)</f>
        <v>11923570</v>
      </c>
    </row>
    <row r="18" spans="2:6" s="280" customFormat="1" ht="24" customHeight="1" x14ac:dyDescent="0.3">
      <c r="B18" s="276">
        <v>15</v>
      </c>
      <c r="C18" s="282" t="s">
        <v>48</v>
      </c>
      <c r="D18" s="290" t="s">
        <v>266</v>
      </c>
      <c r="E18" s="279" t="s">
        <v>267</v>
      </c>
      <c r="F18" s="270">
        <f>VLOOKUP(C18,'Bảng tổng hợp'!$C$4:$BB$47,52,0)</f>
        <v>12901190</v>
      </c>
    </row>
    <row r="19" spans="2:6" s="280" customFormat="1" ht="24" customHeight="1" x14ac:dyDescent="0.3">
      <c r="B19" s="276">
        <v>16</v>
      </c>
      <c r="C19" s="282" t="s">
        <v>32</v>
      </c>
      <c r="D19" s="281" t="s">
        <v>268</v>
      </c>
      <c r="E19" s="279" t="s">
        <v>262</v>
      </c>
      <c r="F19" s="270">
        <f>VLOOKUP(C19,'Bảng tổng hợp'!$C$4:$BB$47,52,0)</f>
        <v>9945601</v>
      </c>
    </row>
    <row r="20" spans="2:6" s="280" customFormat="1" ht="24" customHeight="1" x14ac:dyDescent="0.3">
      <c r="B20" s="276">
        <v>17</v>
      </c>
      <c r="C20" s="282" t="s">
        <v>34</v>
      </c>
      <c r="D20" s="281" t="s">
        <v>269</v>
      </c>
      <c r="E20" s="279" t="s">
        <v>252</v>
      </c>
      <c r="F20" s="270">
        <f>VLOOKUP(C20,'Bảng tổng hợp'!$C$4:$BB$47,52,0)</f>
        <v>9018348</v>
      </c>
    </row>
    <row r="21" spans="2:6" s="280" customFormat="1" ht="24" customHeight="1" x14ac:dyDescent="0.3">
      <c r="B21" s="276">
        <v>18</v>
      </c>
      <c r="C21" s="282" t="s">
        <v>36</v>
      </c>
      <c r="D21" s="281" t="s">
        <v>270</v>
      </c>
      <c r="E21" s="279" t="s">
        <v>271</v>
      </c>
      <c r="F21" s="270">
        <f>VLOOKUP(C21,'Bảng tổng hợp'!$C$4:$BB$47,52,0)</f>
        <v>8983942</v>
      </c>
    </row>
    <row r="22" spans="2:6" s="280" customFormat="1" ht="24" customHeight="1" x14ac:dyDescent="0.3">
      <c r="B22" s="276">
        <v>19</v>
      </c>
      <c r="C22" s="277" t="s">
        <v>38</v>
      </c>
      <c r="D22" s="281" t="s">
        <v>272</v>
      </c>
      <c r="E22" s="279" t="s">
        <v>273</v>
      </c>
      <c r="F22" s="270">
        <f>VLOOKUP(C22,'Bảng tổng hợp'!$C$4:$BB$47,52,0)</f>
        <v>9611778</v>
      </c>
    </row>
    <row r="23" spans="2:6" s="280" customFormat="1" ht="24" customHeight="1" x14ac:dyDescent="0.3">
      <c r="B23" s="276">
        <v>20</v>
      </c>
      <c r="C23" s="282" t="s">
        <v>40</v>
      </c>
      <c r="D23" s="281" t="s">
        <v>274</v>
      </c>
      <c r="E23" s="279" t="s">
        <v>275</v>
      </c>
      <c r="F23" s="270">
        <f>VLOOKUP(C23,'Bảng tổng hợp'!$C$4:$BB$47,52,0)</f>
        <v>9459702</v>
      </c>
    </row>
    <row r="24" spans="2:6" s="280" customFormat="1" ht="24" customHeight="1" x14ac:dyDescent="0.3">
      <c r="B24" s="276">
        <v>21</v>
      </c>
      <c r="C24" s="282" t="s">
        <v>42</v>
      </c>
      <c r="D24" s="281" t="s">
        <v>276</v>
      </c>
      <c r="E24" s="279" t="s">
        <v>277</v>
      </c>
      <c r="F24" s="270">
        <f>VLOOKUP(C24,'Bảng tổng hợp'!$C$4:$BB$47,52,0)</f>
        <v>9004639</v>
      </c>
    </row>
    <row r="25" spans="2:6" s="280" customFormat="1" ht="24" customHeight="1" x14ac:dyDescent="0.3">
      <c r="B25" s="276">
        <v>22</v>
      </c>
      <c r="C25" s="291" t="s">
        <v>107</v>
      </c>
      <c r="D25" s="285" t="s">
        <v>278</v>
      </c>
      <c r="E25" s="279" t="s">
        <v>279</v>
      </c>
      <c r="F25" s="270">
        <f>VLOOKUP(C25,'Bảng tổng hợp'!$C$4:$BB$47,52,0)</f>
        <v>9456947</v>
      </c>
    </row>
    <row r="26" spans="2:6" s="280" customFormat="1" ht="24" customHeight="1" x14ac:dyDescent="0.3">
      <c r="B26" s="276">
        <v>23</v>
      </c>
      <c r="C26" s="291" t="s">
        <v>106</v>
      </c>
      <c r="D26" s="285" t="s">
        <v>280</v>
      </c>
      <c r="E26" s="279" t="s">
        <v>281</v>
      </c>
      <c r="F26" s="270">
        <f>VLOOKUP(C26,'Bảng tổng hợp'!$C$4:$BB$47,52,0)</f>
        <v>10105914</v>
      </c>
    </row>
    <row r="27" spans="2:6" s="280" customFormat="1" ht="24" customHeight="1" x14ac:dyDescent="0.3">
      <c r="B27" s="276">
        <v>24</v>
      </c>
      <c r="C27" s="282" t="s">
        <v>108</v>
      </c>
      <c r="D27" s="287" t="s">
        <v>282</v>
      </c>
      <c r="E27" s="279" t="s">
        <v>248</v>
      </c>
      <c r="F27" s="270">
        <f>VLOOKUP(C27,'Bảng tổng hợp'!$C$4:$BB$47,52,0)</f>
        <v>12233630</v>
      </c>
    </row>
    <row r="28" spans="2:6" s="280" customFormat="1" ht="24" customHeight="1" x14ac:dyDescent="0.3">
      <c r="B28" s="276">
        <v>25</v>
      </c>
      <c r="C28" s="282" t="s">
        <v>44</v>
      </c>
      <c r="D28" s="281" t="s">
        <v>283</v>
      </c>
      <c r="E28" s="279" t="s">
        <v>262</v>
      </c>
      <c r="F28" s="270">
        <f>VLOOKUP(C28,'Bảng tổng hợp'!$C$4:$BB$47,52,0)</f>
        <v>6765192</v>
      </c>
    </row>
    <row r="29" spans="2:6" s="280" customFormat="1" ht="24" customHeight="1" x14ac:dyDescent="0.3">
      <c r="B29" s="276">
        <v>26</v>
      </c>
      <c r="C29" s="282" t="s">
        <v>226</v>
      </c>
      <c r="D29" s="283">
        <v>366623678</v>
      </c>
      <c r="E29" s="283" t="s">
        <v>248</v>
      </c>
      <c r="F29" s="270">
        <f>VLOOKUP(C29,'Bảng tổng hợp'!$C$4:$BB$47,52,0)</f>
        <v>9011682</v>
      </c>
    </row>
    <row r="30" spans="2:6" s="280" customFormat="1" ht="24" customHeight="1" x14ac:dyDescent="0.3">
      <c r="B30" s="276">
        <v>27</v>
      </c>
      <c r="C30" s="282" t="s">
        <v>228</v>
      </c>
      <c r="D30" s="283">
        <v>22321967</v>
      </c>
      <c r="E30" s="283" t="s">
        <v>281</v>
      </c>
      <c r="F30" s="270">
        <f>VLOOKUP(C30,'Bảng tổng hợp'!$C$4:$BB$47,52,0)</f>
        <v>9472524</v>
      </c>
    </row>
    <row r="31" spans="2:6" s="280" customFormat="1" ht="24" customHeight="1" x14ac:dyDescent="0.3">
      <c r="B31" s="276">
        <v>28</v>
      </c>
      <c r="C31" s="282" t="s">
        <v>229</v>
      </c>
      <c r="D31" s="283">
        <v>19032321106013</v>
      </c>
      <c r="E31" s="283" t="s">
        <v>250</v>
      </c>
      <c r="F31" s="270">
        <f>VLOOKUP(C31,'Bảng tổng hợp'!$C$4:$BB$47,52,0)</f>
        <v>10275096</v>
      </c>
    </row>
    <row r="32" spans="2:6" s="280" customFormat="1" ht="24" customHeight="1" x14ac:dyDescent="0.3">
      <c r="B32" s="276">
        <v>29</v>
      </c>
      <c r="C32" s="282" t="s">
        <v>230</v>
      </c>
      <c r="D32" s="286">
        <v>9999997866</v>
      </c>
      <c r="E32" s="283" t="s">
        <v>299</v>
      </c>
      <c r="F32" s="270">
        <f>VLOOKUP(C32,'Bảng tổng hợp'!$C$4:$BB$47,52,0)</f>
        <v>9541394</v>
      </c>
    </row>
    <row r="33" spans="2:18" s="280" customFormat="1" ht="24" customHeight="1" x14ac:dyDescent="0.3">
      <c r="B33" s="276">
        <v>30</v>
      </c>
      <c r="C33" s="282" t="s">
        <v>231</v>
      </c>
      <c r="D33" s="283" t="s">
        <v>285</v>
      </c>
      <c r="E33" s="283" t="s">
        <v>262</v>
      </c>
      <c r="F33" s="270">
        <f>VLOOKUP(C33,'Bảng tổng hợp'!$C$4:$BB$47,52,0)</f>
        <v>7127290</v>
      </c>
    </row>
    <row r="34" spans="2:18" s="280" customFormat="1" ht="24" customHeight="1" x14ac:dyDescent="0.3">
      <c r="B34" s="276">
        <v>31</v>
      </c>
      <c r="C34" s="282" t="s">
        <v>232</v>
      </c>
      <c r="D34" s="283" t="s">
        <v>286</v>
      </c>
      <c r="E34" s="283" t="s">
        <v>250</v>
      </c>
      <c r="F34" s="270">
        <f>VLOOKUP(C34,'Bảng tổng hợp'!$C$4:$BB$47,52,0)</f>
        <v>8384531</v>
      </c>
    </row>
    <row r="35" spans="2:18" s="280" customFormat="1" ht="24" customHeight="1" x14ac:dyDescent="0.3">
      <c r="B35" s="276">
        <v>32</v>
      </c>
      <c r="C35" s="282" t="s">
        <v>220</v>
      </c>
      <c r="D35" s="292" t="s">
        <v>298</v>
      </c>
      <c r="E35" s="283" t="s">
        <v>271</v>
      </c>
      <c r="F35" s="270">
        <f>VLOOKUP(C35,'Bảng tổng hợp'!$C$4:$BB$47,52,0)</f>
        <v>9584736</v>
      </c>
    </row>
    <row r="36" spans="2:18" s="280" customFormat="1" ht="24" customHeight="1" x14ac:dyDescent="0.3">
      <c r="B36" s="276">
        <v>33</v>
      </c>
      <c r="C36" s="282" t="s">
        <v>239</v>
      </c>
      <c r="D36" s="292" t="s">
        <v>284</v>
      </c>
      <c r="E36" s="283" t="s">
        <v>262</v>
      </c>
      <c r="F36" s="270">
        <f>VLOOKUP(C36,'Bảng tổng hợp'!$C$4:$BB$47,52,0)</f>
        <v>12498077</v>
      </c>
    </row>
    <row r="37" spans="2:18" s="280" customFormat="1" ht="24" customHeight="1" x14ac:dyDescent="0.3">
      <c r="B37" s="276">
        <v>34</v>
      </c>
      <c r="C37" s="282" t="s">
        <v>307</v>
      </c>
      <c r="D37" s="292">
        <v>19037976920017</v>
      </c>
      <c r="E37" s="283" t="s">
        <v>250</v>
      </c>
      <c r="F37" s="270">
        <f>VLOOKUP(C37,'Bảng tổng hợp'!$C$4:$BB$47,52,0)</f>
        <v>9547693</v>
      </c>
    </row>
    <row r="38" spans="2:18" s="280" customFormat="1" ht="24" customHeight="1" x14ac:dyDescent="0.3">
      <c r="B38" s="276">
        <v>35</v>
      </c>
      <c r="C38" s="282" t="s">
        <v>308</v>
      </c>
      <c r="D38" s="292" t="s">
        <v>314</v>
      </c>
      <c r="E38" s="283" t="s">
        <v>315</v>
      </c>
      <c r="F38" s="270">
        <f>VLOOKUP(C38,'Bảng tổng hợp'!$C$4:$BB$47,52,0)</f>
        <v>8454760</v>
      </c>
    </row>
    <row r="39" spans="2:18" s="280" customFormat="1" ht="24" customHeight="1" x14ac:dyDescent="0.3">
      <c r="B39" s="276">
        <v>36</v>
      </c>
      <c r="C39" s="282" t="s">
        <v>309</v>
      </c>
      <c r="D39" s="292" t="s">
        <v>316</v>
      </c>
      <c r="E39" s="283" t="s">
        <v>248</v>
      </c>
      <c r="F39" s="270">
        <f>VLOOKUP(C39,'Bảng tổng hợp'!$C$4:$BB$47,52,0)</f>
        <v>10187188</v>
      </c>
    </row>
    <row r="40" spans="2:18" s="280" customFormat="1" ht="24" customHeight="1" x14ac:dyDescent="0.3">
      <c r="B40" s="276">
        <v>37</v>
      </c>
      <c r="C40" s="282" t="s">
        <v>310</v>
      </c>
      <c r="D40" s="292">
        <v>9973958407</v>
      </c>
      <c r="E40" s="283" t="s">
        <v>250</v>
      </c>
      <c r="F40" s="270">
        <f>VLOOKUP(C40,'Bảng tổng hợp'!$C$4:$BB$47,52,0)</f>
        <v>9764120</v>
      </c>
    </row>
    <row r="41" spans="2:18" s="280" customFormat="1" ht="24" customHeight="1" x14ac:dyDescent="0.3">
      <c r="B41" s="276">
        <v>38</v>
      </c>
      <c r="C41" s="282" t="s">
        <v>331</v>
      </c>
      <c r="D41" s="292">
        <v>1030517657</v>
      </c>
      <c r="E41" s="283" t="s">
        <v>262</v>
      </c>
      <c r="F41" s="270">
        <f>VLOOKUP(C41,'Bảng tổng hợp'!$C$4:$BB$47,52,0)</f>
        <v>7911923</v>
      </c>
    </row>
    <row r="42" spans="2:18" s="280" customFormat="1" ht="24" customHeight="1" x14ac:dyDescent="0.3">
      <c r="B42" s="276">
        <v>39</v>
      </c>
      <c r="C42" s="282" t="s">
        <v>325</v>
      </c>
      <c r="D42" s="292" t="s">
        <v>355</v>
      </c>
      <c r="E42" s="283" t="s">
        <v>248</v>
      </c>
      <c r="F42" s="270">
        <f>VLOOKUP(C42,'Bảng tổng hợp'!$C$4:$BB$47,52,0)</f>
        <v>4010192</v>
      </c>
    </row>
    <row r="43" spans="2:18" s="280" customFormat="1" ht="24" customHeight="1" x14ac:dyDescent="0.3">
      <c r="B43" s="276">
        <v>40</v>
      </c>
      <c r="C43" s="282" t="s">
        <v>330</v>
      </c>
      <c r="D43" s="292">
        <v>2060206</v>
      </c>
      <c r="E43" s="283" t="s">
        <v>281</v>
      </c>
      <c r="F43" s="270">
        <f>VLOOKUP(C43,'Bảng tổng hợp'!$C$4:$BB$47,52,0)</f>
        <v>4010192</v>
      </c>
    </row>
    <row r="44" spans="2:18" s="266" customFormat="1" ht="17.25" x14ac:dyDescent="0.3">
      <c r="F44" s="267"/>
    </row>
    <row r="45" spans="2:18" s="268" customFormat="1" ht="22.5" customHeight="1" x14ac:dyDescent="0.3">
      <c r="C45" s="271" t="s">
        <v>301</v>
      </c>
      <c r="E45" s="399" t="s">
        <v>302</v>
      </c>
      <c r="F45" s="399"/>
    </row>
    <row r="46" spans="2:18" s="269" customFormat="1" ht="18.75" x14ac:dyDescent="0.3">
      <c r="B46" s="249"/>
      <c r="D46" s="272"/>
      <c r="E46" s="273"/>
      <c r="N46" s="274"/>
      <c r="O46" s="274"/>
      <c r="P46" s="274"/>
      <c r="Q46" s="274"/>
      <c r="R46" s="274"/>
    </row>
    <row r="47" spans="2:18" s="269" customFormat="1" ht="18.75" x14ac:dyDescent="0.3">
      <c r="B47" s="249"/>
      <c r="D47" s="272"/>
      <c r="E47" s="273"/>
      <c r="N47" s="274"/>
      <c r="O47" s="274"/>
      <c r="P47" s="274"/>
      <c r="Q47" s="274"/>
      <c r="R47" s="274"/>
    </row>
    <row r="48" spans="2:18" s="269" customFormat="1" ht="18.75" x14ac:dyDescent="0.3">
      <c r="B48" s="249"/>
      <c r="D48" s="272"/>
      <c r="E48" s="273"/>
      <c r="N48" s="274"/>
      <c r="O48" s="274"/>
      <c r="P48" s="274"/>
      <c r="Q48" s="274"/>
      <c r="R48" s="274"/>
    </row>
    <row r="49" spans="2:18" s="269" customFormat="1" ht="18.75" x14ac:dyDescent="0.3">
      <c r="B49" s="249"/>
      <c r="D49" s="272"/>
      <c r="E49" s="273"/>
      <c r="N49" s="274"/>
      <c r="O49" s="274"/>
      <c r="P49" s="274"/>
      <c r="Q49" s="274"/>
      <c r="R49" s="274"/>
    </row>
    <row r="50" spans="2:18" s="269" customFormat="1" ht="18.75" x14ac:dyDescent="0.3">
      <c r="B50" s="249"/>
      <c r="D50" s="272"/>
      <c r="E50" s="273"/>
      <c r="N50" s="274"/>
      <c r="O50" s="274"/>
      <c r="P50" s="274"/>
      <c r="Q50" s="274"/>
      <c r="R50" s="274"/>
    </row>
    <row r="51" spans="2:18" s="269" customFormat="1" ht="18.75" x14ac:dyDescent="0.3">
      <c r="B51" s="249"/>
      <c r="D51" s="272"/>
      <c r="E51" s="273"/>
      <c r="F51" s="397"/>
      <c r="G51" s="397"/>
      <c r="H51" s="397"/>
      <c r="N51" s="274"/>
      <c r="O51" s="274"/>
      <c r="P51" s="274"/>
      <c r="Q51" s="274"/>
      <c r="R51" s="274"/>
    </row>
  </sheetData>
  <mergeCells count="3">
    <mergeCell ref="F51:H51"/>
    <mergeCell ref="B1:F1"/>
    <mergeCell ref="E45:F45"/>
  </mergeCells>
  <conditionalFormatting sqref="B3:F3 C4:E10 C14:E28">
    <cfRule type="expression" dxfId="30" priority="9">
      <formula>"""=mid(row(),2=0)"""</formula>
    </cfRule>
    <cfRule type="expression" dxfId="29" priority="10">
      <formula>"""=mid(row(),2)=0"""</formula>
    </cfRule>
  </conditionalFormatting>
  <printOptions horizontalCentered="1"/>
  <pageMargins left="0.25" right="0.1" top="0.3" bottom="0.3" header="0.3" footer="0.3"/>
  <pageSetup paperSize="9" scale="79" fitToHeight="0" orientation="portrait" verticalDpi="0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5" tint="-0.249977111117893"/>
  </sheetPr>
  <dimension ref="A1:AT1057"/>
  <sheetViews>
    <sheetView zoomScale="70" zoomScaleNormal="70" zoomScaleSheetLayoutView="70" workbookViewId="0">
      <pane xSplit="3" ySplit="10" topLeftCell="E28" activePane="bottomRight" state="frozen"/>
      <selection pane="topRight" activeCell="D1" sqref="D1"/>
      <selection pane="bottomLeft" activeCell="A11" sqref="A11"/>
      <selection pane="bottomRight" activeCell="AJ96" sqref="AJ96:AO96"/>
    </sheetView>
  </sheetViews>
  <sheetFormatPr defaultColWidth="14.42578125" defaultRowHeight="15" x14ac:dyDescent="0.25"/>
  <cols>
    <col min="1" max="1" width="7" customWidth="1"/>
    <col min="2" max="2" width="9.140625" customWidth="1"/>
    <col min="3" max="3" width="26.42578125" customWidth="1"/>
    <col min="4" max="4" width="17.5703125" hidden="1" customWidth="1"/>
    <col min="5" max="34" width="6" customWidth="1"/>
    <col min="35" max="35" width="8.7109375" hidden="1" customWidth="1"/>
    <col min="36" max="38" width="8.7109375" customWidth="1"/>
    <col min="39" max="40" width="10.5703125" customWidth="1"/>
    <col min="41" max="41" width="10.140625" customWidth="1"/>
    <col min="42" max="42" width="10.140625" hidden="1" customWidth="1"/>
    <col min="43" max="43" width="37.85546875" hidden="1" customWidth="1"/>
    <col min="44" max="45" width="7" customWidth="1"/>
  </cols>
  <sheetData>
    <row r="1" spans="1:46" ht="18.75" x14ac:dyDescent="0.3">
      <c r="A1" s="98" t="s">
        <v>172</v>
      </c>
    </row>
    <row r="2" spans="1:46" ht="18.75" x14ac:dyDescent="0.3">
      <c r="A2" s="98" t="s">
        <v>90</v>
      </c>
    </row>
    <row r="3" spans="1:46" ht="18.75" x14ac:dyDescent="0.3">
      <c r="A3" s="98" t="s">
        <v>1</v>
      </c>
    </row>
    <row r="5" spans="1:46" ht="15.75" customHeight="1" x14ac:dyDescent="0.25">
      <c r="A5" s="107"/>
      <c r="B5" s="8"/>
      <c r="C5" s="8"/>
      <c r="D5" s="8"/>
      <c r="E5" s="5"/>
      <c r="F5" s="5"/>
      <c r="G5" s="108"/>
      <c r="H5" s="108"/>
      <c r="I5" s="108"/>
      <c r="J5" s="108"/>
      <c r="K5" s="108"/>
      <c r="L5" s="108"/>
      <c r="M5" s="108"/>
      <c r="N5" s="108" t="s">
        <v>117</v>
      </c>
      <c r="O5" s="108"/>
      <c r="P5" s="108"/>
      <c r="Q5" s="108"/>
      <c r="R5" s="108"/>
      <c r="S5" s="108"/>
      <c r="T5" s="108"/>
      <c r="U5" s="108"/>
      <c r="V5" s="108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07"/>
      <c r="AK5" s="107"/>
      <c r="AL5" s="107"/>
      <c r="AM5" s="107"/>
      <c r="AN5" s="107"/>
      <c r="AO5" s="107"/>
      <c r="AP5" s="107"/>
      <c r="AQ5" s="107"/>
      <c r="AR5" s="5"/>
      <c r="AS5" s="5"/>
    </row>
    <row r="6" spans="1:46" ht="15.75" customHeight="1" x14ac:dyDescent="0.25">
      <c r="A6" s="107"/>
      <c r="B6" s="8"/>
      <c r="C6" s="8"/>
      <c r="D6" s="8"/>
      <c r="E6" s="5"/>
      <c r="F6" s="5"/>
      <c r="G6" s="109"/>
      <c r="H6" s="109"/>
      <c r="I6" s="109"/>
      <c r="J6" s="109"/>
      <c r="K6" s="109"/>
      <c r="L6" s="109"/>
      <c r="M6" s="110" t="s">
        <v>118</v>
      </c>
      <c r="N6" s="108">
        <v>6</v>
      </c>
      <c r="O6" s="110" t="s">
        <v>119</v>
      </c>
      <c r="P6" s="111">
        <v>2026</v>
      </c>
      <c r="Q6" s="109"/>
      <c r="R6" s="109"/>
      <c r="S6" s="109"/>
      <c r="T6" s="109"/>
      <c r="U6" s="109"/>
      <c r="V6" s="109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07"/>
      <c r="AK6" s="107"/>
      <c r="AL6" s="107"/>
      <c r="AM6" s="107"/>
      <c r="AN6" s="107"/>
      <c r="AO6" s="107"/>
      <c r="AP6" s="107"/>
      <c r="AQ6" s="107"/>
      <c r="AR6" s="5"/>
      <c r="AS6" s="5"/>
    </row>
    <row r="7" spans="1:46" ht="15.75" customHeight="1" x14ac:dyDescent="0.25">
      <c r="A7" s="107"/>
      <c r="B7" s="107">
        <v>1</v>
      </c>
      <c r="C7" s="107">
        <v>2</v>
      </c>
      <c r="D7" s="107">
        <v>3</v>
      </c>
      <c r="E7" s="107">
        <v>4</v>
      </c>
      <c r="F7" s="107">
        <v>5</v>
      </c>
      <c r="G7" s="107">
        <v>6</v>
      </c>
      <c r="H7" s="107">
        <v>7</v>
      </c>
      <c r="I7" s="107">
        <v>8</v>
      </c>
      <c r="J7" s="107">
        <v>9</v>
      </c>
      <c r="K7" s="107">
        <v>10</v>
      </c>
      <c r="L7" s="107">
        <v>11</v>
      </c>
      <c r="M7" s="107">
        <v>12</v>
      </c>
      <c r="N7" s="107">
        <v>13</v>
      </c>
      <c r="O7" s="107">
        <v>14</v>
      </c>
      <c r="P7" s="107">
        <v>15</v>
      </c>
      <c r="Q7" s="107">
        <v>16</v>
      </c>
      <c r="R7" s="107">
        <v>17</v>
      </c>
      <c r="S7" s="107">
        <v>18</v>
      </c>
      <c r="T7" s="107">
        <v>19</v>
      </c>
      <c r="U7" s="107">
        <v>20</v>
      </c>
      <c r="V7" s="107">
        <v>21</v>
      </c>
      <c r="W7" s="107">
        <v>22</v>
      </c>
      <c r="X7" s="107">
        <v>23</v>
      </c>
      <c r="Y7" s="107">
        <v>24</v>
      </c>
      <c r="Z7" s="107">
        <v>25</v>
      </c>
      <c r="AA7" s="107">
        <v>26</v>
      </c>
      <c r="AB7" s="107">
        <v>27</v>
      </c>
      <c r="AC7" s="107">
        <v>28</v>
      </c>
      <c r="AD7" s="107">
        <v>29</v>
      </c>
      <c r="AE7" s="107">
        <v>30</v>
      </c>
      <c r="AF7" s="107">
        <v>31</v>
      </c>
      <c r="AG7" s="107">
        <v>32</v>
      </c>
      <c r="AH7" s="107">
        <v>33</v>
      </c>
      <c r="AI7" s="107">
        <v>34</v>
      </c>
      <c r="AJ7" s="107">
        <v>35</v>
      </c>
      <c r="AK7" s="107">
        <v>36</v>
      </c>
      <c r="AL7" s="107">
        <v>37</v>
      </c>
      <c r="AM7" s="107">
        <v>38</v>
      </c>
      <c r="AN7" s="107">
        <v>39</v>
      </c>
      <c r="AO7" s="107">
        <v>40</v>
      </c>
      <c r="AP7" s="107"/>
      <c r="AQ7" s="107"/>
      <c r="AR7" s="5"/>
      <c r="AS7" s="5"/>
    </row>
    <row r="8" spans="1:46" ht="32.25" customHeight="1" x14ac:dyDescent="0.25">
      <c r="A8" s="403" t="s">
        <v>2</v>
      </c>
      <c r="B8" s="403" t="s">
        <v>3</v>
      </c>
      <c r="C8" s="403" t="s">
        <v>4</v>
      </c>
      <c r="D8" s="405" t="s">
        <v>115</v>
      </c>
      <c r="E8" s="406" t="s">
        <v>113</v>
      </c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7"/>
      <c r="AI8" s="408"/>
      <c r="AJ8" s="410" t="s">
        <v>114</v>
      </c>
      <c r="AK8" s="411"/>
      <c r="AL8" s="352"/>
      <c r="AM8" s="166"/>
      <c r="AN8" s="167"/>
      <c r="AO8" s="167"/>
      <c r="AP8" s="167"/>
      <c r="AQ8" s="167"/>
      <c r="AR8" s="5"/>
      <c r="AS8" s="5"/>
    </row>
    <row r="9" spans="1:46" ht="31.5" customHeight="1" x14ac:dyDescent="0.25">
      <c r="A9" s="404"/>
      <c r="B9" s="404"/>
      <c r="C9" s="404"/>
      <c r="D9" s="404"/>
      <c r="E9" s="112">
        <f>DATE($P$6,$N$6,1)</f>
        <v>46174</v>
      </c>
      <c r="F9" s="112">
        <f t="shared" ref="F9:AF9" si="0">+E9+1</f>
        <v>46175</v>
      </c>
      <c r="G9" s="112">
        <f t="shared" si="0"/>
        <v>46176</v>
      </c>
      <c r="H9" s="112">
        <f t="shared" si="0"/>
        <v>46177</v>
      </c>
      <c r="I9" s="112">
        <f t="shared" si="0"/>
        <v>46178</v>
      </c>
      <c r="J9" s="112">
        <f t="shared" si="0"/>
        <v>46179</v>
      </c>
      <c r="K9" s="112">
        <f t="shared" si="0"/>
        <v>46180</v>
      </c>
      <c r="L9" s="112">
        <f t="shared" si="0"/>
        <v>46181</v>
      </c>
      <c r="M9" s="112">
        <f t="shared" si="0"/>
        <v>46182</v>
      </c>
      <c r="N9" s="112">
        <f t="shared" si="0"/>
        <v>46183</v>
      </c>
      <c r="O9" s="112">
        <f t="shared" si="0"/>
        <v>46184</v>
      </c>
      <c r="P9" s="112">
        <f t="shared" si="0"/>
        <v>46185</v>
      </c>
      <c r="Q9" s="112">
        <f t="shared" si="0"/>
        <v>46186</v>
      </c>
      <c r="R9" s="112">
        <f t="shared" si="0"/>
        <v>46187</v>
      </c>
      <c r="S9" s="112">
        <f t="shared" si="0"/>
        <v>46188</v>
      </c>
      <c r="T9" s="112">
        <f t="shared" si="0"/>
        <v>46189</v>
      </c>
      <c r="U9" s="112">
        <f t="shared" si="0"/>
        <v>46190</v>
      </c>
      <c r="V9" s="112">
        <f t="shared" si="0"/>
        <v>46191</v>
      </c>
      <c r="W9" s="112">
        <f t="shared" si="0"/>
        <v>46192</v>
      </c>
      <c r="X9" s="112">
        <f t="shared" si="0"/>
        <v>46193</v>
      </c>
      <c r="Y9" s="112">
        <f t="shared" si="0"/>
        <v>46194</v>
      </c>
      <c r="Z9" s="112">
        <f t="shared" si="0"/>
        <v>46195</v>
      </c>
      <c r="AA9" s="112">
        <f t="shared" si="0"/>
        <v>46196</v>
      </c>
      <c r="AB9" s="112">
        <f t="shared" si="0"/>
        <v>46197</v>
      </c>
      <c r="AC9" s="112">
        <f t="shared" si="0"/>
        <v>46198</v>
      </c>
      <c r="AD9" s="112">
        <f t="shared" si="0"/>
        <v>46199</v>
      </c>
      <c r="AE9" s="112">
        <f t="shared" si="0"/>
        <v>46200</v>
      </c>
      <c r="AF9" s="112">
        <f t="shared" si="0"/>
        <v>46201</v>
      </c>
      <c r="AG9" s="112">
        <f t="shared" ref="AG9:AI9" si="1">+IF(AF9="","",IF(EOMONTH($E$9,0)&lt;AF9+1,"",AF9+1))</f>
        <v>46202</v>
      </c>
      <c r="AH9" s="112">
        <f t="shared" si="1"/>
        <v>46203</v>
      </c>
      <c r="AI9" s="112" t="str">
        <f t="shared" si="1"/>
        <v/>
      </c>
      <c r="AJ9" s="409" t="s">
        <v>120</v>
      </c>
      <c r="AK9" s="409" t="s">
        <v>121</v>
      </c>
      <c r="AL9" s="409" t="s">
        <v>345</v>
      </c>
      <c r="AM9" s="401" t="s">
        <v>163</v>
      </c>
      <c r="AN9" s="401" t="s">
        <v>91</v>
      </c>
      <c r="AO9" s="401" t="s">
        <v>339</v>
      </c>
      <c r="AP9" s="412" t="s">
        <v>342</v>
      </c>
      <c r="AQ9" s="401" t="s">
        <v>242</v>
      </c>
      <c r="AR9" s="8"/>
      <c r="AS9" s="8"/>
    </row>
    <row r="10" spans="1:46" ht="26.25" customHeight="1" x14ac:dyDescent="0.25">
      <c r="A10" s="402"/>
      <c r="B10" s="402"/>
      <c r="C10" s="402"/>
      <c r="D10" s="402"/>
      <c r="E10" s="113" t="str">
        <f>TEXT(E9,"[$-vi-VN]ddd")</f>
        <v>T2</v>
      </c>
      <c r="F10" s="113" t="str">
        <f t="shared" ref="F10:J10" si="2">TEXT(F9,"[$-vi-VN]ddd")</f>
        <v>T3</v>
      </c>
      <c r="G10" s="113" t="str">
        <f t="shared" si="2"/>
        <v>T4</v>
      </c>
      <c r="H10" s="113" t="str">
        <f t="shared" si="2"/>
        <v>T5</v>
      </c>
      <c r="I10" s="113" t="str">
        <f t="shared" si="2"/>
        <v>T6</v>
      </c>
      <c r="J10" s="113" t="str">
        <f t="shared" si="2"/>
        <v>T7</v>
      </c>
      <c r="K10" s="113" t="str">
        <f t="shared" ref="K10" si="3">TEXT(K9,"[$-vi-VN]ddd")</f>
        <v>CN</v>
      </c>
      <c r="L10" s="113" t="str">
        <f t="shared" ref="L10" si="4">TEXT(L9,"[$-vi-VN]ddd")</f>
        <v>T2</v>
      </c>
      <c r="M10" s="113" t="str">
        <f t="shared" ref="M10" si="5">TEXT(M9,"[$-vi-VN]ddd")</f>
        <v>T3</v>
      </c>
      <c r="N10" s="113" t="str">
        <f t="shared" ref="N10:O10" si="6">TEXT(N9,"[$-vi-VN]ddd")</f>
        <v>T4</v>
      </c>
      <c r="O10" s="113" t="str">
        <f t="shared" si="6"/>
        <v>T5</v>
      </c>
      <c r="P10" s="113" t="str">
        <f t="shared" ref="P10" si="7">TEXT(P9,"[$-vi-VN]ddd")</f>
        <v>T6</v>
      </c>
      <c r="Q10" s="113" t="str">
        <f t="shared" ref="Q10" si="8">TEXT(Q9,"[$-vi-VN]ddd")</f>
        <v>T7</v>
      </c>
      <c r="R10" s="113" t="str">
        <f t="shared" ref="R10" si="9">TEXT(R9,"[$-vi-VN]ddd")</f>
        <v>CN</v>
      </c>
      <c r="S10" s="113" t="str">
        <f t="shared" ref="S10:T10" si="10">TEXT(S9,"[$-vi-VN]ddd")</f>
        <v>T2</v>
      </c>
      <c r="T10" s="113" t="str">
        <f t="shared" si="10"/>
        <v>T3</v>
      </c>
      <c r="U10" s="113" t="str">
        <f t="shared" ref="U10" si="11">TEXT(U9,"[$-vi-VN]ddd")</f>
        <v>T4</v>
      </c>
      <c r="V10" s="113" t="str">
        <f t="shared" ref="V10" si="12">TEXT(V9,"[$-vi-VN]ddd")</f>
        <v>T5</v>
      </c>
      <c r="W10" s="113" t="str">
        <f t="shared" ref="W10" si="13">TEXT(W9,"[$-vi-VN]ddd")</f>
        <v>T6</v>
      </c>
      <c r="X10" s="113" t="str">
        <f t="shared" ref="X10:Y10" si="14">TEXT(X9,"[$-vi-VN]ddd")</f>
        <v>T7</v>
      </c>
      <c r="Y10" s="113" t="str">
        <f t="shared" si="14"/>
        <v>CN</v>
      </c>
      <c r="Z10" s="113" t="str">
        <f t="shared" ref="Z10" si="15">TEXT(Z9,"[$-vi-VN]ddd")</f>
        <v>T2</v>
      </c>
      <c r="AA10" s="113" t="str">
        <f t="shared" ref="AA10" si="16">TEXT(AA9,"[$-vi-VN]ddd")</f>
        <v>T3</v>
      </c>
      <c r="AB10" s="113" t="str">
        <f t="shared" ref="AB10" si="17">TEXT(AB9,"[$-vi-VN]ddd")</f>
        <v>T4</v>
      </c>
      <c r="AC10" s="113" t="str">
        <f t="shared" ref="AC10:AD10" si="18">TEXT(AC9,"[$-vi-VN]ddd")</f>
        <v>T5</v>
      </c>
      <c r="AD10" s="113" t="str">
        <f t="shared" si="18"/>
        <v>T6</v>
      </c>
      <c r="AE10" s="113" t="str">
        <f>TEXT(AE9,"[$-vi-VN]ddd")</f>
        <v>T7</v>
      </c>
      <c r="AF10" s="113" t="str">
        <f t="shared" ref="AF10" si="19">TEXT(AF9,"[$-vi-VN]ddd")</f>
        <v>CN</v>
      </c>
      <c r="AG10" s="113" t="str">
        <f t="shared" ref="AG10" si="20">TEXT(AG9,"[$-vi-VN]ddd")</f>
        <v>T2</v>
      </c>
      <c r="AH10" s="113" t="str">
        <f t="shared" ref="AH10" si="21">TEXT(AH9,"[$-vi-VN]ddd")</f>
        <v>T3</v>
      </c>
      <c r="AI10" s="113" t="str">
        <f t="shared" ref="AI10" si="22">TEXT(AI9,"[$-vi-VN]ddd")</f>
        <v/>
      </c>
      <c r="AJ10" s="402"/>
      <c r="AK10" s="402"/>
      <c r="AL10" s="402"/>
      <c r="AM10" s="402"/>
      <c r="AN10" s="402"/>
      <c r="AO10" s="402"/>
      <c r="AP10" s="413"/>
      <c r="AQ10" s="402"/>
      <c r="AR10" s="5"/>
      <c r="AS10" s="5"/>
    </row>
    <row r="11" spans="1:46" ht="19.5" customHeight="1" x14ac:dyDescent="0.25">
      <c r="A11" s="168">
        <v>1</v>
      </c>
      <c r="B11" s="168" t="s">
        <v>8</v>
      </c>
      <c r="C11" s="300" t="s">
        <v>9</v>
      </c>
      <c r="D11" s="169" t="s">
        <v>50</v>
      </c>
      <c r="E11" s="205">
        <v>8</v>
      </c>
      <c r="F11" s="205">
        <v>8</v>
      </c>
      <c r="G11" s="205">
        <v>8</v>
      </c>
      <c r="H11" s="205">
        <v>8</v>
      </c>
      <c r="I11" s="205">
        <v>8</v>
      </c>
      <c r="J11" s="205">
        <v>8</v>
      </c>
      <c r="K11" s="204"/>
      <c r="L11" s="365">
        <v>8</v>
      </c>
      <c r="M11" s="365">
        <v>8</v>
      </c>
      <c r="N11" s="365">
        <v>8</v>
      </c>
      <c r="O11" s="365">
        <v>8</v>
      </c>
      <c r="P11" s="365">
        <v>8</v>
      </c>
      <c r="Q11" s="365">
        <v>8</v>
      </c>
      <c r="R11" s="204"/>
      <c r="S11" s="365">
        <v>8</v>
      </c>
      <c r="T11" s="365">
        <v>8</v>
      </c>
      <c r="U11" s="365">
        <v>8</v>
      </c>
      <c r="V11" s="365">
        <v>8</v>
      </c>
      <c r="W11" s="365">
        <v>8</v>
      </c>
      <c r="X11" s="365">
        <v>8</v>
      </c>
      <c r="Y11" s="204"/>
      <c r="Z11" s="365">
        <v>8</v>
      </c>
      <c r="AA11" s="365">
        <v>8</v>
      </c>
      <c r="AB11" s="365">
        <v>8</v>
      </c>
      <c r="AC11" s="365">
        <v>8</v>
      </c>
      <c r="AD11" s="365">
        <v>8</v>
      </c>
      <c r="AE11" s="364">
        <v>8</v>
      </c>
      <c r="AF11" s="216"/>
      <c r="AG11" s="322">
        <v>8</v>
      </c>
      <c r="AH11" s="322">
        <v>8</v>
      </c>
      <c r="AI11" s="206"/>
      <c r="AJ11" s="183">
        <f>ROUND(SUM(E11:AI11)/8,1)</f>
        <v>26</v>
      </c>
      <c r="AK11" s="207">
        <f>SUM(F12:AJ12)</f>
        <v>8</v>
      </c>
      <c r="AL11" s="207"/>
      <c r="AM11" s="207">
        <f>COUNTIF(E11:AI11,"L")</f>
        <v>0</v>
      </c>
      <c r="AN11" s="207">
        <f>COUNTIF(E11:AI11,"P")</f>
        <v>0</v>
      </c>
      <c r="AO11" s="183">
        <f>VLOOKUP(C11,[1]BCC!$C$6:$DJ$75,10,0)</f>
        <v>6</v>
      </c>
      <c r="AP11" s="183">
        <f>AO11-AN11</f>
        <v>6</v>
      </c>
      <c r="AQ11" s="183"/>
      <c r="AR11" s="5"/>
      <c r="AS11" s="5"/>
      <c r="AT11" s="363"/>
    </row>
    <row r="12" spans="1:46" ht="19.5" customHeight="1" x14ac:dyDescent="0.25">
      <c r="A12" s="170"/>
      <c r="B12" s="170"/>
      <c r="C12" s="301"/>
      <c r="D12" s="171"/>
      <c r="E12" s="208"/>
      <c r="F12" s="209"/>
      <c r="G12" s="209"/>
      <c r="H12" s="210"/>
      <c r="I12" s="209"/>
      <c r="J12" s="209"/>
      <c r="K12" s="209"/>
      <c r="L12" s="367"/>
      <c r="M12" s="367"/>
      <c r="N12" s="367"/>
      <c r="O12" s="367"/>
      <c r="P12" s="367"/>
      <c r="Q12" s="367"/>
      <c r="R12" s="209"/>
      <c r="S12" s="367"/>
      <c r="T12" s="367"/>
      <c r="U12" s="367"/>
      <c r="V12" s="367"/>
      <c r="W12" s="367"/>
      <c r="X12" s="367"/>
      <c r="Y12" s="209"/>
      <c r="Z12" s="367"/>
      <c r="AA12" s="367"/>
      <c r="AB12" s="367"/>
      <c r="AC12" s="367"/>
      <c r="AD12" s="367"/>
      <c r="AE12" s="367"/>
      <c r="AF12" s="354">
        <v>8</v>
      </c>
      <c r="AG12" s="208"/>
      <c r="AH12" s="209"/>
      <c r="AI12" s="211"/>
      <c r="AJ12" s="323"/>
      <c r="AK12" s="212"/>
      <c r="AL12" s="212"/>
      <c r="AM12" s="212"/>
      <c r="AN12" s="212"/>
      <c r="AO12" s="174"/>
      <c r="AP12" s="174"/>
      <c r="AQ12" s="174"/>
      <c r="AR12" s="5"/>
      <c r="AS12" s="5"/>
      <c r="AT12" s="363"/>
    </row>
    <row r="13" spans="1:46" ht="19.5" customHeight="1" x14ac:dyDescent="0.25">
      <c r="A13" s="168">
        <v>2</v>
      </c>
      <c r="B13" s="168" t="s">
        <v>10</v>
      </c>
      <c r="C13" s="300" t="s">
        <v>11</v>
      </c>
      <c r="D13" s="169" t="s">
        <v>95</v>
      </c>
      <c r="E13" s="205">
        <v>8</v>
      </c>
      <c r="F13" s="205">
        <v>8</v>
      </c>
      <c r="G13" s="205">
        <v>8</v>
      </c>
      <c r="H13" s="205">
        <v>8</v>
      </c>
      <c r="I13" s="205">
        <v>8</v>
      </c>
      <c r="J13" s="205">
        <v>8</v>
      </c>
      <c r="K13" s="204"/>
      <c r="L13" s="365">
        <v>8</v>
      </c>
      <c r="M13" s="365">
        <v>8</v>
      </c>
      <c r="N13" s="365">
        <v>8</v>
      </c>
      <c r="O13" s="365">
        <v>8</v>
      </c>
      <c r="P13" s="365">
        <v>8</v>
      </c>
      <c r="Q13" s="365">
        <v>8</v>
      </c>
      <c r="R13" s="369"/>
      <c r="S13" s="365">
        <v>8</v>
      </c>
      <c r="T13" s="365">
        <v>8</v>
      </c>
      <c r="U13" s="365">
        <v>8</v>
      </c>
      <c r="V13" s="365">
        <v>8</v>
      </c>
      <c r="W13" s="365">
        <v>8</v>
      </c>
      <c r="X13" s="365">
        <v>8</v>
      </c>
      <c r="Y13" s="204"/>
      <c r="Z13" s="365">
        <v>8</v>
      </c>
      <c r="AA13" s="365">
        <v>8</v>
      </c>
      <c r="AB13" s="365">
        <v>8</v>
      </c>
      <c r="AC13" s="365">
        <v>8</v>
      </c>
      <c r="AD13" s="365">
        <v>8</v>
      </c>
      <c r="AE13" s="365">
        <v>8</v>
      </c>
      <c r="AF13" s="216"/>
      <c r="AG13" s="205">
        <v>8</v>
      </c>
      <c r="AH13" s="205">
        <v>8</v>
      </c>
      <c r="AI13" s="206"/>
      <c r="AJ13" s="183">
        <f>ROUND(SUM(E13:AI13)/8,1)</f>
        <v>26</v>
      </c>
      <c r="AK13" s="207">
        <f>SUM(F14:AJ14)</f>
        <v>0</v>
      </c>
      <c r="AL13" s="207"/>
      <c r="AM13" s="207">
        <f>COUNTIF(E13:AI13,"L")</f>
        <v>0</v>
      </c>
      <c r="AN13" s="207">
        <f>COUNTIF(E13:AI13,"P")</f>
        <v>0</v>
      </c>
      <c r="AO13" s="183">
        <f>VLOOKUP(C13,[1]BCC!$C$6:$DJ$75,10,0)</f>
        <v>6</v>
      </c>
      <c r="AP13" s="183">
        <f>AO13-AN13</f>
        <v>6</v>
      </c>
      <c r="AQ13" s="183"/>
      <c r="AR13" s="5"/>
      <c r="AS13" s="5"/>
      <c r="AT13" s="363"/>
    </row>
    <row r="14" spans="1:46" ht="19.5" customHeight="1" x14ac:dyDescent="0.25">
      <c r="A14" s="170"/>
      <c r="B14" s="170"/>
      <c r="C14" s="301"/>
      <c r="D14" s="171"/>
      <c r="E14" s="208"/>
      <c r="F14" s="209"/>
      <c r="G14" s="209"/>
      <c r="H14" s="210"/>
      <c r="I14" s="209"/>
      <c r="J14" s="209"/>
      <c r="K14" s="209"/>
      <c r="L14" s="367"/>
      <c r="M14" s="367"/>
      <c r="N14" s="367"/>
      <c r="O14" s="367"/>
      <c r="P14" s="367"/>
      <c r="Q14" s="367"/>
      <c r="R14" s="368"/>
      <c r="S14" s="367"/>
      <c r="T14" s="367"/>
      <c r="U14" s="367"/>
      <c r="V14" s="367"/>
      <c r="W14" s="367"/>
      <c r="X14" s="367"/>
      <c r="Y14" s="209"/>
      <c r="Z14" s="367"/>
      <c r="AA14" s="367"/>
      <c r="AB14" s="367"/>
      <c r="AC14" s="367"/>
      <c r="AD14" s="367"/>
      <c r="AE14" s="367"/>
      <c r="AF14" s="209"/>
      <c r="AG14" s="208"/>
      <c r="AH14" s="209"/>
      <c r="AI14" s="211"/>
      <c r="AJ14" s="323"/>
      <c r="AK14" s="212"/>
      <c r="AL14" s="212"/>
      <c r="AM14" s="212"/>
      <c r="AN14" s="212"/>
      <c r="AO14" s="174"/>
      <c r="AP14" s="174"/>
      <c r="AQ14" s="174"/>
      <c r="AR14" s="5"/>
      <c r="AS14" s="5"/>
      <c r="AT14" s="363"/>
    </row>
    <row r="15" spans="1:46" ht="19.5" customHeight="1" x14ac:dyDescent="0.25">
      <c r="A15" s="168">
        <f>+A13+1</f>
        <v>3</v>
      </c>
      <c r="B15" s="172" t="s">
        <v>161</v>
      </c>
      <c r="C15" s="300" t="s">
        <v>12</v>
      </c>
      <c r="D15" s="169" t="s">
        <v>51</v>
      </c>
      <c r="E15" s="205">
        <v>8</v>
      </c>
      <c r="F15" s="205">
        <v>8</v>
      </c>
      <c r="G15" s="205">
        <v>8</v>
      </c>
      <c r="H15" s="205">
        <v>8</v>
      </c>
      <c r="I15" s="205">
        <v>8</v>
      </c>
      <c r="J15" s="205">
        <v>8</v>
      </c>
      <c r="K15" s="204"/>
      <c r="L15" s="365">
        <v>8</v>
      </c>
      <c r="M15" s="365">
        <v>8</v>
      </c>
      <c r="N15" s="365">
        <v>8</v>
      </c>
      <c r="O15" s="365">
        <v>8</v>
      </c>
      <c r="P15" s="365">
        <v>8</v>
      </c>
      <c r="Q15" s="365">
        <v>8</v>
      </c>
      <c r="R15" s="369"/>
      <c r="S15" s="365">
        <v>8</v>
      </c>
      <c r="T15" s="365">
        <v>8</v>
      </c>
      <c r="U15" s="365">
        <v>8</v>
      </c>
      <c r="V15" s="365">
        <v>8</v>
      </c>
      <c r="W15" s="365">
        <v>8</v>
      </c>
      <c r="X15" s="365">
        <v>8</v>
      </c>
      <c r="Y15" s="204"/>
      <c r="Z15" s="365">
        <v>8</v>
      </c>
      <c r="AA15" s="365">
        <v>8</v>
      </c>
      <c r="AB15" s="365">
        <v>8</v>
      </c>
      <c r="AC15" s="365">
        <v>8</v>
      </c>
      <c r="AD15" s="365">
        <v>8</v>
      </c>
      <c r="AE15" s="365">
        <v>8</v>
      </c>
      <c r="AF15" s="216"/>
      <c r="AG15" s="205">
        <v>8</v>
      </c>
      <c r="AH15" s="205">
        <v>8</v>
      </c>
      <c r="AI15" s="206"/>
      <c r="AJ15" s="183">
        <f>ROUND(SUM(E15:AI15)/8,1)</f>
        <v>26</v>
      </c>
      <c r="AK15" s="207">
        <f t="shared" ref="AK15" si="23">SUM(F16:AJ16)</f>
        <v>0</v>
      </c>
      <c r="AL15" s="207"/>
      <c r="AM15" s="207">
        <f t="shared" ref="AM15" si="24">COUNTIF(E15:AI15,"L")</f>
        <v>0</v>
      </c>
      <c r="AN15" s="207">
        <f t="shared" ref="AN15" si="25">COUNTIF(E15:AI15,"P")</f>
        <v>0</v>
      </c>
      <c r="AO15" s="183">
        <f>VLOOKUP(C15,[1]BCC!$C$6:$DJ$75,10,0)</f>
        <v>6</v>
      </c>
      <c r="AP15" s="183">
        <f>AO15-AN15</f>
        <v>6</v>
      </c>
      <c r="AQ15" s="183"/>
      <c r="AR15" s="5"/>
      <c r="AS15" s="5"/>
      <c r="AT15" s="363"/>
    </row>
    <row r="16" spans="1:46" ht="19.5" customHeight="1" x14ac:dyDescent="0.25">
      <c r="A16" s="170"/>
      <c r="B16" s="173"/>
      <c r="C16" s="301"/>
      <c r="D16" s="171"/>
      <c r="E16" s="208"/>
      <c r="F16" s="209"/>
      <c r="G16" s="209"/>
      <c r="H16" s="210"/>
      <c r="I16" s="209"/>
      <c r="J16" s="209"/>
      <c r="K16" s="209"/>
      <c r="L16" s="367"/>
      <c r="M16" s="367"/>
      <c r="N16" s="367"/>
      <c r="O16" s="367"/>
      <c r="P16" s="367"/>
      <c r="Q16" s="367"/>
      <c r="R16" s="368"/>
      <c r="S16" s="367"/>
      <c r="T16" s="367"/>
      <c r="U16" s="367"/>
      <c r="V16" s="367"/>
      <c r="W16" s="367"/>
      <c r="X16" s="367"/>
      <c r="Y16" s="209"/>
      <c r="Z16" s="367"/>
      <c r="AA16" s="367"/>
      <c r="AB16" s="367"/>
      <c r="AC16" s="367"/>
      <c r="AD16" s="367"/>
      <c r="AE16" s="367"/>
      <c r="AF16" s="209"/>
      <c r="AG16" s="208"/>
      <c r="AH16" s="209"/>
      <c r="AI16" s="211"/>
      <c r="AJ16" s="323"/>
      <c r="AK16" s="212"/>
      <c r="AL16" s="212"/>
      <c r="AM16" s="212"/>
      <c r="AN16" s="212"/>
      <c r="AO16" s="174"/>
      <c r="AP16" s="174"/>
      <c r="AQ16" s="174"/>
      <c r="AR16" s="5"/>
      <c r="AS16" s="5"/>
      <c r="AT16" s="363"/>
    </row>
    <row r="17" spans="1:46" ht="19.5" customHeight="1" x14ac:dyDescent="0.25">
      <c r="A17" s="168">
        <f>+A15+1</f>
        <v>4</v>
      </c>
      <c r="B17" s="172" t="s">
        <v>13</v>
      </c>
      <c r="C17" s="300" t="s">
        <v>14</v>
      </c>
      <c r="D17" s="169" t="s">
        <v>53</v>
      </c>
      <c r="E17" s="205">
        <v>8</v>
      </c>
      <c r="F17" s="205">
        <v>8</v>
      </c>
      <c r="G17" s="205">
        <v>8</v>
      </c>
      <c r="H17" s="205">
        <v>8</v>
      </c>
      <c r="I17" s="205">
        <v>8</v>
      </c>
      <c r="J17" s="205">
        <v>8</v>
      </c>
      <c r="K17" s="204"/>
      <c r="L17" s="365">
        <v>8</v>
      </c>
      <c r="M17" s="365">
        <v>8</v>
      </c>
      <c r="N17" s="365">
        <v>8</v>
      </c>
      <c r="O17" s="365">
        <v>8</v>
      </c>
      <c r="P17" s="365">
        <v>8</v>
      </c>
      <c r="Q17" s="365">
        <v>8</v>
      </c>
      <c r="R17" s="369"/>
      <c r="S17" s="365">
        <v>8</v>
      </c>
      <c r="T17" s="365">
        <v>8</v>
      </c>
      <c r="U17" s="365">
        <v>8</v>
      </c>
      <c r="V17" s="365">
        <v>8</v>
      </c>
      <c r="W17" s="365">
        <v>8</v>
      </c>
      <c r="X17" s="365">
        <v>8</v>
      </c>
      <c r="Y17" s="204"/>
      <c r="Z17" s="365">
        <v>8</v>
      </c>
      <c r="AA17" s="365">
        <v>8</v>
      </c>
      <c r="AB17" s="365">
        <v>8</v>
      </c>
      <c r="AC17" s="365">
        <v>8</v>
      </c>
      <c r="AD17" s="365">
        <v>8</v>
      </c>
      <c r="AE17" s="364" t="s">
        <v>340</v>
      </c>
      <c r="AF17" s="216"/>
      <c r="AG17" s="205">
        <v>8</v>
      </c>
      <c r="AH17" s="205">
        <v>8</v>
      </c>
      <c r="AI17" s="206"/>
      <c r="AJ17" s="183">
        <f>ROUND(SUM(E17:AI17)/8,1)</f>
        <v>25</v>
      </c>
      <c r="AK17" s="207">
        <f t="shared" ref="AK17" si="26">SUM(F18:AJ18)</f>
        <v>0</v>
      </c>
      <c r="AL17" s="207"/>
      <c r="AM17" s="207">
        <f t="shared" ref="AM17" si="27">COUNTIF(E17:AI17,"L")</f>
        <v>0</v>
      </c>
      <c r="AN17" s="207">
        <f t="shared" ref="AN17" si="28">COUNTIF(E17:AI17,"P")</f>
        <v>1</v>
      </c>
      <c r="AO17" s="183">
        <f>VLOOKUP(C17,[1]BCC!$C$6:$DJ$75,10,0)</f>
        <v>2</v>
      </c>
      <c r="AP17" s="183">
        <f>AO17-AN17</f>
        <v>1</v>
      </c>
      <c r="AQ17" s="183"/>
      <c r="AR17" s="5"/>
      <c r="AS17" s="5"/>
      <c r="AT17" s="363"/>
    </row>
    <row r="18" spans="1:46" ht="19.5" customHeight="1" x14ac:dyDescent="0.25">
      <c r="A18" s="170"/>
      <c r="B18" s="173"/>
      <c r="C18" s="301"/>
      <c r="D18" s="171"/>
      <c r="E18" s="208"/>
      <c r="F18" s="209"/>
      <c r="G18" s="209"/>
      <c r="H18" s="210"/>
      <c r="I18" s="209"/>
      <c r="J18" s="209"/>
      <c r="K18" s="209"/>
      <c r="L18" s="367"/>
      <c r="M18" s="367"/>
      <c r="N18" s="367"/>
      <c r="O18" s="367"/>
      <c r="P18" s="367"/>
      <c r="Q18" s="367"/>
      <c r="R18" s="368"/>
      <c r="S18" s="367"/>
      <c r="T18" s="367"/>
      <c r="U18" s="367"/>
      <c r="V18" s="367"/>
      <c r="W18" s="367"/>
      <c r="X18" s="367"/>
      <c r="Y18" s="209"/>
      <c r="Z18" s="367"/>
      <c r="AA18" s="367"/>
      <c r="AB18" s="367"/>
      <c r="AC18" s="367"/>
      <c r="AD18" s="367"/>
      <c r="AE18" s="367"/>
      <c r="AF18" s="209"/>
      <c r="AG18" s="208"/>
      <c r="AH18" s="209"/>
      <c r="AI18" s="211"/>
      <c r="AJ18" s="323"/>
      <c r="AK18" s="212"/>
      <c r="AL18" s="212"/>
      <c r="AM18" s="212"/>
      <c r="AN18" s="212"/>
      <c r="AO18" s="174"/>
      <c r="AP18" s="174"/>
      <c r="AQ18" s="174"/>
      <c r="AR18" s="5"/>
      <c r="AS18" s="5"/>
      <c r="AT18" s="363"/>
    </row>
    <row r="19" spans="1:46" ht="20.25" customHeight="1" x14ac:dyDescent="0.25">
      <c r="A19" s="168">
        <f>+A17+1</f>
        <v>5</v>
      </c>
      <c r="B19" s="172" t="s">
        <v>15</v>
      </c>
      <c r="C19" s="300" t="s">
        <v>16</v>
      </c>
      <c r="D19" s="169" t="s">
        <v>54</v>
      </c>
      <c r="E19" s="205">
        <v>8</v>
      </c>
      <c r="F19" s="205">
        <v>8</v>
      </c>
      <c r="G19" s="205">
        <v>8</v>
      </c>
      <c r="H19" s="205">
        <v>8</v>
      </c>
      <c r="I19" s="205">
        <v>8</v>
      </c>
      <c r="J19" s="205">
        <v>8</v>
      </c>
      <c r="K19" s="204"/>
      <c r="L19" s="365">
        <v>8</v>
      </c>
      <c r="M19" s="365">
        <v>8</v>
      </c>
      <c r="N19" s="365">
        <v>8</v>
      </c>
      <c r="O19" s="365">
        <v>8</v>
      </c>
      <c r="P19" s="365">
        <v>8</v>
      </c>
      <c r="Q19" s="365">
        <v>8</v>
      </c>
      <c r="R19" s="369"/>
      <c r="S19" s="365">
        <v>8</v>
      </c>
      <c r="T19" s="365">
        <v>8</v>
      </c>
      <c r="U19" s="365">
        <v>8</v>
      </c>
      <c r="V19" s="365">
        <v>8</v>
      </c>
      <c r="W19" s="365">
        <v>8</v>
      </c>
      <c r="X19" s="365">
        <v>8</v>
      </c>
      <c r="Y19" s="204"/>
      <c r="Z19" s="365">
        <v>8</v>
      </c>
      <c r="AA19" s="365">
        <v>8</v>
      </c>
      <c r="AB19" s="365">
        <v>8</v>
      </c>
      <c r="AC19" s="365">
        <v>8</v>
      </c>
      <c r="AD19" s="365">
        <v>8</v>
      </c>
      <c r="AE19" s="365">
        <v>8</v>
      </c>
      <c r="AF19" s="216"/>
      <c r="AG19" s="365">
        <v>8</v>
      </c>
      <c r="AH19" s="365">
        <v>8</v>
      </c>
      <c r="AI19" s="206"/>
      <c r="AJ19" s="183">
        <f>ROUND(SUM(E19:AI19)/8,1)</f>
        <v>26</v>
      </c>
      <c r="AK19" s="207">
        <f>SUM(F20:AJ20)-AL19</f>
        <v>8</v>
      </c>
      <c r="AL19" s="207">
        <f>R20+Y20</f>
        <v>16</v>
      </c>
      <c r="AM19" s="207">
        <f t="shared" ref="AM19" si="29">COUNTIF(E19:AI19,"L")</f>
        <v>0</v>
      </c>
      <c r="AN19" s="207">
        <f t="shared" ref="AN19" si="30">COUNTIF(E19:AI19,"P")</f>
        <v>0</v>
      </c>
      <c r="AO19" s="183">
        <v>0</v>
      </c>
      <c r="AP19" s="183">
        <f>AO19-AN19</f>
        <v>0</v>
      </c>
      <c r="AQ19" s="183"/>
      <c r="AR19" s="5"/>
      <c r="AS19" s="5"/>
      <c r="AT19" s="363"/>
    </row>
    <row r="20" spans="1:46" ht="19.5" customHeight="1" x14ac:dyDescent="0.25">
      <c r="A20" s="170"/>
      <c r="B20" s="173"/>
      <c r="C20" s="301"/>
      <c r="D20" s="171"/>
      <c r="E20" s="208"/>
      <c r="F20" s="209"/>
      <c r="G20" s="209"/>
      <c r="H20" s="210"/>
      <c r="I20" s="209"/>
      <c r="J20" s="209"/>
      <c r="K20" s="209"/>
      <c r="L20" s="367"/>
      <c r="M20" s="367"/>
      <c r="N20" s="367"/>
      <c r="O20" s="367"/>
      <c r="P20" s="367"/>
      <c r="Q20" s="367"/>
      <c r="R20" s="368">
        <v>8</v>
      </c>
      <c r="S20" s="367"/>
      <c r="T20" s="367"/>
      <c r="U20" s="367"/>
      <c r="V20" s="367"/>
      <c r="W20" s="367"/>
      <c r="X20" s="367"/>
      <c r="Y20" s="368">
        <v>8</v>
      </c>
      <c r="Z20" s="367"/>
      <c r="AA20" s="367"/>
      <c r="AB20" s="367"/>
      <c r="AC20" s="367"/>
      <c r="AD20" s="367">
        <v>2</v>
      </c>
      <c r="AE20" s="367">
        <v>2</v>
      </c>
      <c r="AF20" s="209"/>
      <c r="AG20" s="367">
        <v>2</v>
      </c>
      <c r="AH20" s="367">
        <v>2</v>
      </c>
      <c r="AI20" s="211"/>
      <c r="AJ20" s="323"/>
      <c r="AK20" s="212"/>
      <c r="AL20" s="212"/>
      <c r="AM20" s="212"/>
      <c r="AN20" s="212"/>
      <c r="AO20" s="174"/>
      <c r="AP20" s="174"/>
      <c r="AQ20" s="174"/>
      <c r="AR20" s="5"/>
      <c r="AS20" s="5"/>
      <c r="AT20" s="363"/>
    </row>
    <row r="21" spans="1:46" ht="19.5" customHeight="1" x14ac:dyDescent="0.25">
      <c r="A21" s="168">
        <f>+A19+1</f>
        <v>6</v>
      </c>
      <c r="B21" s="172" t="s">
        <v>17</v>
      </c>
      <c r="C21" s="302" t="s">
        <v>18</v>
      </c>
      <c r="D21" s="169" t="s">
        <v>54</v>
      </c>
      <c r="E21" s="205">
        <v>8</v>
      </c>
      <c r="F21" s="205"/>
      <c r="G21" s="205">
        <v>8</v>
      </c>
      <c r="H21" s="205">
        <v>8</v>
      </c>
      <c r="I21" s="205">
        <v>8</v>
      </c>
      <c r="J21" s="205">
        <v>8</v>
      </c>
      <c r="K21" s="204">
        <v>8</v>
      </c>
      <c r="L21" s="365">
        <v>8</v>
      </c>
      <c r="M21" s="365"/>
      <c r="N21" s="365">
        <v>8</v>
      </c>
      <c r="O21" s="365">
        <v>8</v>
      </c>
      <c r="P21" s="365">
        <v>8</v>
      </c>
      <c r="Q21" s="365">
        <v>8</v>
      </c>
      <c r="R21" s="204">
        <v>8</v>
      </c>
      <c r="S21" s="365">
        <v>8</v>
      </c>
      <c r="T21" s="365"/>
      <c r="U21" s="365">
        <v>8</v>
      </c>
      <c r="V21" s="365">
        <v>8</v>
      </c>
      <c r="W21" s="365">
        <v>8</v>
      </c>
      <c r="X21" s="365">
        <v>8</v>
      </c>
      <c r="Y21" s="204">
        <v>8</v>
      </c>
      <c r="Z21" s="365">
        <v>8</v>
      </c>
      <c r="AA21" s="365">
        <v>8</v>
      </c>
      <c r="AB21" s="365">
        <v>8</v>
      </c>
      <c r="AC21" s="365">
        <v>8</v>
      </c>
      <c r="AD21" s="365">
        <v>8</v>
      </c>
      <c r="AE21" s="364">
        <v>8</v>
      </c>
      <c r="AF21" s="216"/>
      <c r="AG21" s="322">
        <v>8</v>
      </c>
      <c r="AH21" s="322">
        <v>8</v>
      </c>
      <c r="AI21" s="206"/>
      <c r="AJ21" s="183">
        <f>ROUND(SUM(E21:AI21)/8,1)</f>
        <v>26</v>
      </c>
      <c r="AK21" s="207">
        <f>SUM(F22:AJ22)-AL21</f>
        <v>25.950000000000003</v>
      </c>
      <c r="AL21" s="207">
        <v>8</v>
      </c>
      <c r="AM21" s="207">
        <f t="shared" ref="AM21" si="31">COUNTIF(E21:AI21,"L")</f>
        <v>0</v>
      </c>
      <c r="AN21" s="207">
        <f t="shared" ref="AN21" si="32">COUNTIF(E21:AI21,"P")</f>
        <v>0</v>
      </c>
      <c r="AO21" s="183">
        <f>VLOOKUP(C21,[1]BCC!$C$6:$DJ$75,10,0)</f>
        <v>4</v>
      </c>
      <c r="AP21" s="183">
        <f>AO21-AN21</f>
        <v>4</v>
      </c>
      <c r="AQ21" s="183"/>
      <c r="AR21" s="5"/>
      <c r="AS21" s="5"/>
      <c r="AT21" s="363"/>
    </row>
    <row r="22" spans="1:46" ht="19.5" customHeight="1" x14ac:dyDescent="0.25">
      <c r="A22" s="170"/>
      <c r="B22" s="173"/>
      <c r="C22" s="301"/>
      <c r="D22" s="171"/>
      <c r="E22" s="208"/>
      <c r="F22" s="209"/>
      <c r="G22" s="209"/>
      <c r="H22" s="210"/>
      <c r="I22" s="209"/>
      <c r="J22" s="209"/>
      <c r="K22" s="209"/>
      <c r="L22" s="367"/>
      <c r="M22" s="367"/>
      <c r="N22" s="367"/>
      <c r="O22" s="367"/>
      <c r="P22" s="367">
        <v>3.5</v>
      </c>
      <c r="Q22" s="367"/>
      <c r="R22" s="368">
        <v>3.05</v>
      </c>
      <c r="S22" s="367"/>
      <c r="T22" s="367">
        <v>8</v>
      </c>
      <c r="U22" s="367">
        <v>2</v>
      </c>
      <c r="V22" s="367"/>
      <c r="W22" s="367">
        <v>4</v>
      </c>
      <c r="X22" s="367">
        <v>1.1200000000000001</v>
      </c>
      <c r="Y22" s="209"/>
      <c r="Z22" s="367"/>
      <c r="AA22" s="367"/>
      <c r="AB22" s="367">
        <v>2</v>
      </c>
      <c r="AC22" s="367">
        <v>2.2799999999999998</v>
      </c>
      <c r="AD22" s="367"/>
      <c r="AE22" s="367"/>
      <c r="AF22" s="354">
        <v>8</v>
      </c>
      <c r="AG22" s="208"/>
      <c r="AH22" s="209"/>
      <c r="AI22" s="211"/>
      <c r="AJ22" s="323"/>
      <c r="AK22" s="212"/>
      <c r="AL22" s="212"/>
      <c r="AM22" s="212"/>
      <c r="AN22" s="212"/>
      <c r="AO22" s="174"/>
      <c r="AP22" s="174"/>
      <c r="AQ22" s="174"/>
      <c r="AR22" s="5"/>
      <c r="AS22" s="5"/>
      <c r="AT22" s="363"/>
    </row>
    <row r="23" spans="1:46" ht="19.5" customHeight="1" x14ac:dyDescent="0.25">
      <c r="A23" s="168">
        <f>+A21+1</f>
        <v>7</v>
      </c>
      <c r="B23" s="172" t="s">
        <v>184</v>
      </c>
      <c r="C23" s="300" t="s">
        <v>105</v>
      </c>
      <c r="D23" s="169" t="s">
        <v>54</v>
      </c>
      <c r="E23" s="364">
        <v>8</v>
      </c>
      <c r="F23" s="365">
        <v>8</v>
      </c>
      <c r="G23" s="365">
        <v>8</v>
      </c>
      <c r="H23" s="365">
        <v>8</v>
      </c>
      <c r="I23" s="365">
        <v>8</v>
      </c>
      <c r="J23" s="365">
        <v>8</v>
      </c>
      <c r="K23" s="204"/>
      <c r="L23" s="365">
        <v>8</v>
      </c>
      <c r="M23" s="365">
        <v>8</v>
      </c>
      <c r="N23" s="365">
        <v>8</v>
      </c>
      <c r="O23" s="365">
        <v>8</v>
      </c>
      <c r="P23" s="365">
        <v>8</v>
      </c>
      <c r="Q23" s="365">
        <v>8</v>
      </c>
      <c r="R23" s="369"/>
      <c r="S23" s="365">
        <v>8</v>
      </c>
      <c r="T23" s="365">
        <v>8</v>
      </c>
      <c r="U23" s="365">
        <v>8</v>
      </c>
      <c r="V23" s="365">
        <v>8</v>
      </c>
      <c r="W23" s="365">
        <v>8</v>
      </c>
      <c r="X23" s="365">
        <v>8</v>
      </c>
      <c r="Y23" s="204"/>
      <c r="Z23" s="365">
        <v>8</v>
      </c>
      <c r="AA23" s="365">
        <v>8</v>
      </c>
      <c r="AB23" s="365">
        <v>8</v>
      </c>
      <c r="AC23" s="365">
        <v>8</v>
      </c>
      <c r="AD23" s="365">
        <v>8</v>
      </c>
      <c r="AE23" s="364">
        <v>8</v>
      </c>
      <c r="AF23" s="350"/>
      <c r="AG23" s="322">
        <v>8</v>
      </c>
      <c r="AH23" s="322">
        <v>8</v>
      </c>
      <c r="AI23" s="206"/>
      <c r="AJ23" s="183">
        <f>ROUND(SUM(E23:AI23)/8,1)</f>
        <v>26</v>
      </c>
      <c r="AK23" s="207">
        <f>SUM(F24:AJ24)-AL23</f>
        <v>8.25</v>
      </c>
      <c r="AL23" s="207">
        <f>R24+AF24</f>
        <v>16.579999999999998</v>
      </c>
      <c r="AM23" s="207">
        <f t="shared" ref="AM23" si="33">COUNTIF(E23:AI23,"L")</f>
        <v>0</v>
      </c>
      <c r="AN23" s="207">
        <f t="shared" ref="AN23" si="34">COUNTIF(E23:AI23,"P")</f>
        <v>0</v>
      </c>
      <c r="AO23" s="183">
        <f>VLOOKUP(C23,[1]BCC!$C$6:$DJ$75,10,0)</f>
        <v>1</v>
      </c>
      <c r="AP23" s="183">
        <f>AO23-AN23</f>
        <v>1</v>
      </c>
      <c r="AQ23" s="183"/>
      <c r="AR23" s="5"/>
      <c r="AS23" s="5"/>
      <c r="AT23" s="363"/>
    </row>
    <row r="24" spans="1:46" ht="19.5" customHeight="1" x14ac:dyDescent="0.25">
      <c r="A24" s="170"/>
      <c r="B24" s="173"/>
      <c r="C24" s="301"/>
      <c r="D24" s="171"/>
      <c r="E24" s="366"/>
      <c r="F24" s="366"/>
      <c r="G24" s="367">
        <v>0.6</v>
      </c>
      <c r="H24" s="367">
        <v>2</v>
      </c>
      <c r="I24" s="367">
        <v>3.5</v>
      </c>
      <c r="J24" s="367">
        <v>1.37</v>
      </c>
      <c r="K24" s="209"/>
      <c r="L24" s="367">
        <v>0.78</v>
      </c>
      <c r="M24" s="367"/>
      <c r="N24" s="367"/>
      <c r="O24" s="367"/>
      <c r="P24" s="367"/>
      <c r="Q24" s="367"/>
      <c r="R24" s="368">
        <v>8.58</v>
      </c>
      <c r="S24" s="367"/>
      <c r="T24" s="367"/>
      <c r="U24" s="367"/>
      <c r="V24" s="367"/>
      <c r="W24" s="367"/>
      <c r="X24" s="367"/>
      <c r="Y24" s="209"/>
      <c r="Z24" s="367"/>
      <c r="AA24" s="367"/>
      <c r="AB24" s="367"/>
      <c r="AC24" s="367"/>
      <c r="AD24" s="367"/>
      <c r="AE24" s="367"/>
      <c r="AF24" s="354">
        <v>8</v>
      </c>
      <c r="AG24" s="208"/>
      <c r="AH24" s="209"/>
      <c r="AI24" s="211"/>
      <c r="AJ24" s="323"/>
      <c r="AK24" s="214"/>
      <c r="AL24" s="214"/>
      <c r="AM24" s="214"/>
      <c r="AN24" s="214"/>
      <c r="AO24" s="193"/>
      <c r="AP24" s="193"/>
      <c r="AQ24" s="193"/>
      <c r="AR24" s="5"/>
      <c r="AS24" s="5"/>
      <c r="AT24" s="363"/>
    </row>
    <row r="25" spans="1:46" ht="19.5" customHeight="1" x14ac:dyDescent="0.25">
      <c r="A25" s="168">
        <f>+A23+1</f>
        <v>8</v>
      </c>
      <c r="B25" s="172" t="s">
        <v>19</v>
      </c>
      <c r="C25" s="300" t="s">
        <v>20</v>
      </c>
      <c r="D25" s="169" t="s">
        <v>51</v>
      </c>
      <c r="E25" s="322" t="s">
        <v>340</v>
      </c>
      <c r="F25" s="322" t="s">
        <v>340</v>
      </c>
      <c r="G25" s="205">
        <v>8</v>
      </c>
      <c r="H25" s="205">
        <v>8</v>
      </c>
      <c r="I25" s="205">
        <v>8</v>
      </c>
      <c r="J25" s="205">
        <v>8</v>
      </c>
      <c r="K25" s="204"/>
      <c r="L25" s="365">
        <v>8</v>
      </c>
      <c r="M25" s="365">
        <v>8</v>
      </c>
      <c r="N25" s="365">
        <v>8</v>
      </c>
      <c r="O25" s="365">
        <v>8</v>
      </c>
      <c r="P25" s="365">
        <v>8</v>
      </c>
      <c r="Q25" s="365">
        <v>8</v>
      </c>
      <c r="R25" s="369"/>
      <c r="S25" s="365">
        <v>8</v>
      </c>
      <c r="T25" s="365">
        <v>8</v>
      </c>
      <c r="U25" s="365">
        <v>8</v>
      </c>
      <c r="V25" s="365">
        <v>8</v>
      </c>
      <c r="W25" s="365">
        <v>8</v>
      </c>
      <c r="X25" s="365">
        <v>8</v>
      </c>
      <c r="Y25" s="204"/>
      <c r="Z25" s="365">
        <v>8</v>
      </c>
      <c r="AA25" s="365">
        <v>8</v>
      </c>
      <c r="AB25" s="365">
        <v>8</v>
      </c>
      <c r="AC25" s="365">
        <v>8</v>
      </c>
      <c r="AD25" s="365">
        <v>8</v>
      </c>
      <c r="AE25" s="365">
        <v>8</v>
      </c>
      <c r="AF25" s="216"/>
      <c r="AG25" s="205">
        <v>8</v>
      </c>
      <c r="AH25" s="205">
        <v>8</v>
      </c>
      <c r="AI25" s="206"/>
      <c r="AJ25" s="183">
        <f>ROUND(SUM(E25:AI25)/8,1)</f>
        <v>24</v>
      </c>
      <c r="AK25" s="207">
        <f t="shared" ref="AK25" si="35">SUM(F26:AJ26)</f>
        <v>0</v>
      </c>
      <c r="AL25" s="207"/>
      <c r="AM25" s="207">
        <f t="shared" ref="AM25" si="36">COUNTIF(E25:AI25,"L")</f>
        <v>0</v>
      </c>
      <c r="AN25" s="207">
        <f t="shared" ref="AN25" si="37">COUNTIF(E25:AI25,"P")</f>
        <v>2</v>
      </c>
      <c r="AO25" s="183">
        <f>VLOOKUP(C25,[1]BCC!$C$6:$DJ$75,10,0)</f>
        <v>6</v>
      </c>
      <c r="AP25" s="183">
        <f>AO25-AN25</f>
        <v>4</v>
      </c>
      <c r="AQ25" s="183"/>
      <c r="AR25" s="5"/>
      <c r="AS25" s="5"/>
      <c r="AT25" s="363"/>
    </row>
    <row r="26" spans="1:46" ht="19.5" customHeight="1" x14ac:dyDescent="0.25">
      <c r="A26" s="170"/>
      <c r="B26" s="173"/>
      <c r="C26" s="301"/>
      <c r="D26" s="171"/>
      <c r="E26" s="208"/>
      <c r="F26" s="209"/>
      <c r="G26" s="209"/>
      <c r="H26" s="210"/>
      <c r="I26" s="209"/>
      <c r="J26" s="209"/>
      <c r="K26" s="209"/>
      <c r="L26" s="367"/>
      <c r="M26" s="367"/>
      <c r="N26" s="367"/>
      <c r="O26" s="367"/>
      <c r="P26" s="367"/>
      <c r="Q26" s="367"/>
      <c r="R26" s="368"/>
      <c r="S26" s="367"/>
      <c r="T26" s="367"/>
      <c r="U26" s="367"/>
      <c r="V26" s="367"/>
      <c r="W26" s="367"/>
      <c r="X26" s="367"/>
      <c r="Y26" s="209"/>
      <c r="Z26" s="367"/>
      <c r="AA26" s="367"/>
      <c r="AB26" s="367"/>
      <c r="AC26" s="367"/>
      <c r="AD26" s="367"/>
      <c r="AE26" s="367"/>
      <c r="AF26" s="209"/>
      <c r="AG26" s="208"/>
      <c r="AH26" s="209"/>
      <c r="AI26" s="211"/>
      <c r="AJ26" s="323"/>
      <c r="AK26" s="212"/>
      <c r="AL26" s="212"/>
      <c r="AM26" s="212"/>
      <c r="AN26" s="212"/>
      <c r="AO26" s="174"/>
      <c r="AP26" s="174"/>
      <c r="AQ26" s="174"/>
      <c r="AR26" s="5"/>
      <c r="AS26" s="5"/>
      <c r="AT26" s="363"/>
    </row>
    <row r="27" spans="1:46" ht="19.5" customHeight="1" x14ac:dyDescent="0.25">
      <c r="A27" s="168">
        <f>A25+1</f>
        <v>9</v>
      </c>
      <c r="B27" s="172" t="s">
        <v>21</v>
      </c>
      <c r="C27" s="300" t="s">
        <v>22</v>
      </c>
      <c r="D27" s="169" t="s">
        <v>53</v>
      </c>
      <c r="E27" s="205">
        <v>8</v>
      </c>
      <c r="F27" s="205">
        <v>8</v>
      </c>
      <c r="G27" s="205">
        <v>8</v>
      </c>
      <c r="H27" s="205">
        <v>8</v>
      </c>
      <c r="I27" s="205">
        <v>8</v>
      </c>
      <c r="J27" s="205">
        <v>8</v>
      </c>
      <c r="K27" s="204"/>
      <c r="L27" s="365">
        <v>8</v>
      </c>
      <c r="M27" s="365">
        <v>8</v>
      </c>
      <c r="N27" s="365">
        <v>8</v>
      </c>
      <c r="O27" s="365">
        <v>8</v>
      </c>
      <c r="P27" s="365">
        <v>8</v>
      </c>
      <c r="Q27" s="365">
        <v>8</v>
      </c>
      <c r="R27" s="369"/>
      <c r="S27" s="365">
        <v>8</v>
      </c>
      <c r="T27" s="365">
        <v>8</v>
      </c>
      <c r="U27" s="364" t="s">
        <v>340</v>
      </c>
      <c r="V27" s="365">
        <v>8</v>
      </c>
      <c r="W27" s="365">
        <v>8</v>
      </c>
      <c r="X27" s="364" t="s">
        <v>340</v>
      </c>
      <c r="Y27" s="204"/>
      <c r="Z27" s="365">
        <v>8</v>
      </c>
      <c r="AA27" s="365">
        <v>8</v>
      </c>
      <c r="AB27" s="365">
        <v>8</v>
      </c>
      <c r="AC27" s="365">
        <v>8</v>
      </c>
      <c r="AD27" s="365">
        <v>8</v>
      </c>
      <c r="AE27" s="364">
        <v>8</v>
      </c>
      <c r="AF27" s="216"/>
      <c r="AG27" s="322">
        <v>8</v>
      </c>
      <c r="AH27" s="322">
        <v>8</v>
      </c>
      <c r="AI27" s="206"/>
      <c r="AJ27" s="183">
        <f>ROUND(SUM(E27:AI27)/8,1)</f>
        <v>24</v>
      </c>
      <c r="AK27" s="207">
        <v>0</v>
      </c>
      <c r="AL27" s="207">
        <v>8</v>
      </c>
      <c r="AM27" s="207">
        <f t="shared" ref="AM27" si="38">COUNTIF(E27:AI27,"L")</f>
        <v>0</v>
      </c>
      <c r="AN27" s="207">
        <f t="shared" ref="AN27" si="39">COUNTIF(E27:AI27,"P")</f>
        <v>2</v>
      </c>
      <c r="AO27" s="183">
        <f>VLOOKUP(C27,[1]BCC!$C$6:$DJ$75,10,0)</f>
        <v>5</v>
      </c>
      <c r="AP27" s="183">
        <f>AO27-AN27</f>
        <v>3</v>
      </c>
      <c r="AQ27" s="183"/>
      <c r="AR27" s="5"/>
      <c r="AS27" s="5"/>
      <c r="AT27" s="363"/>
    </row>
    <row r="28" spans="1:46" ht="19.5" customHeight="1" x14ac:dyDescent="0.25">
      <c r="A28" s="170"/>
      <c r="B28" s="173"/>
      <c r="C28" s="301"/>
      <c r="D28" s="171"/>
      <c r="E28" s="208"/>
      <c r="F28" s="209"/>
      <c r="G28" s="209"/>
      <c r="H28" s="210"/>
      <c r="I28" s="209"/>
      <c r="J28" s="209"/>
      <c r="K28" s="209"/>
      <c r="L28" s="367"/>
      <c r="M28" s="367"/>
      <c r="N28" s="367"/>
      <c r="O28" s="367"/>
      <c r="P28" s="367"/>
      <c r="Q28" s="367"/>
      <c r="R28" s="368"/>
      <c r="S28" s="367"/>
      <c r="T28" s="367"/>
      <c r="U28" s="367"/>
      <c r="V28" s="367"/>
      <c r="W28" s="367"/>
      <c r="X28" s="367"/>
      <c r="Y28" s="209"/>
      <c r="Z28" s="367"/>
      <c r="AA28" s="367"/>
      <c r="AB28" s="367"/>
      <c r="AC28" s="367"/>
      <c r="AD28" s="367"/>
      <c r="AE28" s="367"/>
      <c r="AF28" s="354">
        <v>8</v>
      </c>
      <c r="AG28" s="208"/>
      <c r="AH28" s="209"/>
      <c r="AI28" s="211"/>
      <c r="AJ28" s="323"/>
      <c r="AK28" s="212"/>
      <c r="AL28" s="212"/>
      <c r="AM28" s="212"/>
      <c r="AN28" s="212"/>
      <c r="AO28" s="174"/>
      <c r="AP28" s="174"/>
      <c r="AQ28" s="174"/>
      <c r="AR28" s="5"/>
      <c r="AS28" s="5"/>
      <c r="AT28" s="363"/>
    </row>
    <row r="29" spans="1:46" ht="19.5" customHeight="1" x14ac:dyDescent="0.25">
      <c r="A29" s="168">
        <f>A27+1</f>
        <v>10</v>
      </c>
      <c r="B29" s="172" t="s">
        <v>23</v>
      </c>
      <c r="C29" s="300" t="s">
        <v>24</v>
      </c>
      <c r="D29" s="169" t="s">
        <v>155</v>
      </c>
      <c r="E29" s="205">
        <v>8</v>
      </c>
      <c r="F29" s="205">
        <v>8</v>
      </c>
      <c r="G29" s="205">
        <v>8</v>
      </c>
      <c r="H29" s="205">
        <v>8</v>
      </c>
      <c r="I29" s="205">
        <v>8</v>
      </c>
      <c r="J29" s="205">
        <v>8</v>
      </c>
      <c r="K29" s="204"/>
      <c r="L29" s="365">
        <v>8</v>
      </c>
      <c r="M29" s="365">
        <v>8</v>
      </c>
      <c r="N29" s="365">
        <v>8</v>
      </c>
      <c r="O29" s="365">
        <v>8</v>
      </c>
      <c r="P29" s="365">
        <v>8</v>
      </c>
      <c r="Q29" s="365">
        <v>8</v>
      </c>
      <c r="R29" s="369"/>
      <c r="S29" s="365">
        <v>8</v>
      </c>
      <c r="T29" s="365">
        <v>8</v>
      </c>
      <c r="U29" s="365">
        <v>8</v>
      </c>
      <c r="V29" s="365">
        <v>8</v>
      </c>
      <c r="W29" s="365">
        <v>8</v>
      </c>
      <c r="X29" s="365">
        <v>8</v>
      </c>
      <c r="Y29" s="204"/>
      <c r="Z29" s="365">
        <v>8</v>
      </c>
      <c r="AA29" s="365">
        <v>8</v>
      </c>
      <c r="AB29" s="365">
        <v>8</v>
      </c>
      <c r="AC29" s="365">
        <v>8</v>
      </c>
      <c r="AD29" s="365">
        <v>8</v>
      </c>
      <c r="AE29" s="364">
        <v>8</v>
      </c>
      <c r="AF29" s="350"/>
      <c r="AG29" s="322">
        <v>8</v>
      </c>
      <c r="AH29" s="322">
        <v>8</v>
      </c>
      <c r="AI29" s="206"/>
      <c r="AJ29" s="183">
        <f>ROUND(SUM(E29:AI29)/8,1)</f>
        <v>26</v>
      </c>
      <c r="AK29" s="207">
        <v>0</v>
      </c>
      <c r="AL29" s="207">
        <v>8</v>
      </c>
      <c r="AM29" s="207">
        <f t="shared" ref="AM29" si="40">COUNTIF(E29:AI29,"L")</f>
        <v>0</v>
      </c>
      <c r="AN29" s="207">
        <f t="shared" ref="AN29" si="41">COUNTIF(E29:AI29,"P")</f>
        <v>0</v>
      </c>
      <c r="AO29" s="183">
        <f>VLOOKUP(C29,[1]BCC!$C$6:$DJ$75,10,0)</f>
        <v>6</v>
      </c>
      <c r="AP29" s="183">
        <f>AO29-AN29</f>
        <v>6</v>
      </c>
      <c r="AQ29" s="183"/>
      <c r="AR29" s="5"/>
      <c r="AS29" s="5"/>
      <c r="AT29" s="363"/>
    </row>
    <row r="30" spans="1:46" ht="19.5" customHeight="1" x14ac:dyDescent="0.25">
      <c r="A30" s="170"/>
      <c r="B30" s="173"/>
      <c r="C30" s="301"/>
      <c r="D30" s="171"/>
      <c r="E30" s="208"/>
      <c r="F30" s="209"/>
      <c r="G30" s="209"/>
      <c r="H30" s="210"/>
      <c r="I30" s="209"/>
      <c r="J30" s="209"/>
      <c r="K30" s="209"/>
      <c r="L30" s="367"/>
      <c r="M30" s="367"/>
      <c r="N30" s="367"/>
      <c r="O30" s="367"/>
      <c r="P30" s="367"/>
      <c r="Q30" s="367"/>
      <c r="R30" s="368"/>
      <c r="S30" s="367"/>
      <c r="T30" s="367"/>
      <c r="U30" s="367"/>
      <c r="V30" s="367"/>
      <c r="W30" s="367"/>
      <c r="X30" s="367"/>
      <c r="Y30" s="209"/>
      <c r="Z30" s="367"/>
      <c r="AA30" s="367"/>
      <c r="AB30" s="367"/>
      <c r="AC30" s="367"/>
      <c r="AD30" s="367"/>
      <c r="AE30" s="367"/>
      <c r="AF30" s="354">
        <v>8</v>
      </c>
      <c r="AG30" s="208"/>
      <c r="AH30" s="209"/>
      <c r="AI30" s="211"/>
      <c r="AJ30" s="323"/>
      <c r="AK30" s="212"/>
      <c r="AL30" s="212"/>
      <c r="AM30" s="212"/>
      <c r="AN30" s="212"/>
      <c r="AO30" s="174"/>
      <c r="AP30" s="174"/>
      <c r="AQ30" s="174"/>
      <c r="AR30" s="5"/>
      <c r="AS30" s="5"/>
      <c r="AT30" s="363"/>
    </row>
    <row r="31" spans="1:46" ht="19.5" customHeight="1" x14ac:dyDescent="0.25">
      <c r="A31" s="168">
        <f>A29+1</f>
        <v>11</v>
      </c>
      <c r="B31" s="172" t="s">
        <v>25</v>
      </c>
      <c r="C31" s="300" t="s">
        <v>26</v>
      </c>
      <c r="D31" s="169" t="s">
        <v>54</v>
      </c>
      <c r="E31" s="205">
        <v>8</v>
      </c>
      <c r="F31" s="205">
        <v>8</v>
      </c>
      <c r="G31" s="205">
        <v>8</v>
      </c>
      <c r="H31" s="205">
        <v>8</v>
      </c>
      <c r="I31" s="205">
        <v>8</v>
      </c>
      <c r="J31" s="205">
        <v>8</v>
      </c>
      <c r="K31" s="204"/>
      <c r="L31" s="365">
        <v>8</v>
      </c>
      <c r="M31" s="365">
        <v>8</v>
      </c>
      <c r="N31" s="365">
        <v>8</v>
      </c>
      <c r="O31" s="365">
        <v>8</v>
      </c>
      <c r="P31" s="365">
        <v>8</v>
      </c>
      <c r="Q31" s="365">
        <v>8</v>
      </c>
      <c r="R31" s="369"/>
      <c r="S31" s="365">
        <v>8</v>
      </c>
      <c r="T31" s="365">
        <v>8</v>
      </c>
      <c r="U31" s="365">
        <v>8</v>
      </c>
      <c r="V31" s="365">
        <v>8</v>
      </c>
      <c r="W31" s="365">
        <v>8</v>
      </c>
      <c r="X31" s="364" t="s">
        <v>340</v>
      </c>
      <c r="Y31" s="204"/>
      <c r="Z31" s="364" t="s">
        <v>340</v>
      </c>
      <c r="AA31" s="365">
        <v>8</v>
      </c>
      <c r="AB31" s="365">
        <v>8</v>
      </c>
      <c r="AC31" s="365">
        <v>8</v>
      </c>
      <c r="AD31" s="365">
        <v>8</v>
      </c>
      <c r="AE31" s="365">
        <v>8</v>
      </c>
      <c r="AF31" s="216"/>
      <c r="AG31" s="205">
        <v>8</v>
      </c>
      <c r="AH31" s="205">
        <v>8</v>
      </c>
      <c r="AI31" s="206"/>
      <c r="AJ31" s="183">
        <f>ROUND(SUM(E31:AI31)/8,1)</f>
        <v>24</v>
      </c>
      <c r="AK31" s="207">
        <f t="shared" ref="AK31" si="42">SUM(F32:AJ32)</f>
        <v>0</v>
      </c>
      <c r="AL31" s="207"/>
      <c r="AM31" s="207">
        <f t="shared" ref="AM31" si="43">COUNTIF(E31:AI31,"L")</f>
        <v>0</v>
      </c>
      <c r="AN31" s="207">
        <f t="shared" ref="AN31" si="44">COUNTIF(E31:AI31,"P")</f>
        <v>2</v>
      </c>
      <c r="AO31" s="183">
        <f>VLOOKUP(C31,[1]BCC!$C$6:$DJ$75,10,0)</f>
        <v>5</v>
      </c>
      <c r="AP31" s="183">
        <f>AO31-AN31</f>
        <v>3</v>
      </c>
      <c r="AQ31" s="183"/>
      <c r="AR31" s="5"/>
      <c r="AS31" s="5"/>
      <c r="AT31" s="363"/>
    </row>
    <row r="32" spans="1:46" ht="19.5" customHeight="1" x14ac:dyDescent="0.25">
      <c r="A32" s="170"/>
      <c r="B32" s="173"/>
      <c r="C32" s="301"/>
      <c r="D32" s="171"/>
      <c r="E32" s="208"/>
      <c r="F32" s="209"/>
      <c r="G32" s="209"/>
      <c r="H32" s="210"/>
      <c r="I32" s="209"/>
      <c r="J32" s="209"/>
      <c r="K32" s="209"/>
      <c r="L32" s="367"/>
      <c r="M32" s="367"/>
      <c r="N32" s="367"/>
      <c r="O32" s="367"/>
      <c r="P32" s="367"/>
      <c r="Q32" s="367"/>
      <c r="R32" s="368"/>
      <c r="S32" s="367"/>
      <c r="T32" s="367"/>
      <c r="U32" s="367"/>
      <c r="V32" s="367"/>
      <c r="W32" s="367"/>
      <c r="X32" s="367"/>
      <c r="Y32" s="209"/>
      <c r="Z32" s="367"/>
      <c r="AA32" s="367"/>
      <c r="AB32" s="367"/>
      <c r="AC32" s="367"/>
      <c r="AD32" s="367"/>
      <c r="AE32" s="367"/>
      <c r="AF32" s="209"/>
      <c r="AG32" s="208"/>
      <c r="AH32" s="209"/>
      <c r="AI32" s="211"/>
      <c r="AJ32" s="323"/>
      <c r="AK32" s="212"/>
      <c r="AL32" s="212"/>
      <c r="AM32" s="212"/>
      <c r="AN32" s="212"/>
      <c r="AO32" s="174"/>
      <c r="AP32" s="174"/>
      <c r="AQ32" s="174"/>
      <c r="AR32" s="5"/>
      <c r="AS32" s="5"/>
      <c r="AT32" s="363"/>
    </row>
    <row r="33" spans="1:46" ht="19.5" customHeight="1" x14ac:dyDescent="0.25">
      <c r="A33" s="168">
        <f>A31+1</f>
        <v>12</v>
      </c>
      <c r="B33" s="172" t="s">
        <v>27</v>
      </c>
      <c r="C33" s="300" t="s">
        <v>28</v>
      </c>
      <c r="D33" s="169" t="s">
        <v>51</v>
      </c>
      <c r="E33" s="205">
        <v>8</v>
      </c>
      <c r="F33" s="205">
        <v>8</v>
      </c>
      <c r="G33" s="205">
        <v>8</v>
      </c>
      <c r="H33" s="205">
        <v>8</v>
      </c>
      <c r="I33" s="205">
        <v>8</v>
      </c>
      <c r="J33" s="205">
        <v>8</v>
      </c>
      <c r="K33" s="204"/>
      <c r="L33" s="365">
        <v>8</v>
      </c>
      <c r="M33" s="365">
        <v>8</v>
      </c>
      <c r="N33" s="365">
        <v>8</v>
      </c>
      <c r="O33" s="365">
        <v>8</v>
      </c>
      <c r="P33" s="365">
        <v>8</v>
      </c>
      <c r="Q33" s="365">
        <v>8</v>
      </c>
      <c r="R33" s="369"/>
      <c r="S33" s="365">
        <v>8</v>
      </c>
      <c r="T33" s="365">
        <v>8</v>
      </c>
      <c r="U33" s="365">
        <v>8</v>
      </c>
      <c r="V33" s="365">
        <v>8</v>
      </c>
      <c r="W33" s="365">
        <v>8</v>
      </c>
      <c r="X33" s="365">
        <v>8</v>
      </c>
      <c r="Y33" s="204"/>
      <c r="Z33" s="365">
        <v>8</v>
      </c>
      <c r="AA33" s="365">
        <v>8</v>
      </c>
      <c r="AB33" s="365">
        <v>8</v>
      </c>
      <c r="AC33" s="365">
        <v>8</v>
      </c>
      <c r="AD33" s="365">
        <v>8</v>
      </c>
      <c r="AE33" s="365">
        <v>8</v>
      </c>
      <c r="AF33" s="216"/>
      <c r="AG33" s="365">
        <v>8</v>
      </c>
      <c r="AH33" s="365">
        <v>8</v>
      </c>
      <c r="AI33" s="206"/>
      <c r="AJ33" s="183">
        <f>ROUND(SUM(E33:AI33)/8,1)</f>
        <v>26</v>
      </c>
      <c r="AK33" s="207">
        <f>SUM(F34:AI34)</f>
        <v>38.049999999999997</v>
      </c>
      <c r="AL33" s="207"/>
      <c r="AM33" s="207">
        <f t="shared" ref="AM33" si="45">COUNTIF(E33:AI33,"L")</f>
        <v>0</v>
      </c>
      <c r="AN33" s="207">
        <f t="shared" ref="AN33" si="46">COUNTIF(E33:AI33,"P")</f>
        <v>0</v>
      </c>
      <c r="AO33" s="183">
        <f>VLOOKUP(C33,[1]BCC!$C$6:$DJ$75,10,0)</f>
        <v>5</v>
      </c>
      <c r="AP33" s="183">
        <f>AO33-AN33</f>
        <v>5</v>
      </c>
      <c r="AQ33" s="183"/>
      <c r="AR33" s="5"/>
      <c r="AS33" s="5"/>
      <c r="AT33" s="363"/>
    </row>
    <row r="34" spans="1:46" ht="19.5" customHeight="1" x14ac:dyDescent="0.25">
      <c r="A34" s="170"/>
      <c r="B34" s="173"/>
      <c r="C34" s="301"/>
      <c r="D34" s="171"/>
      <c r="E34" s="208"/>
      <c r="F34" s="209"/>
      <c r="G34" s="209"/>
      <c r="H34" s="210"/>
      <c r="I34" s="209"/>
      <c r="J34" s="209"/>
      <c r="K34" s="209"/>
      <c r="L34" s="367">
        <v>2.83</v>
      </c>
      <c r="M34" s="367">
        <v>3.45</v>
      </c>
      <c r="N34" s="367">
        <v>2.75</v>
      </c>
      <c r="O34" s="367"/>
      <c r="P34" s="367"/>
      <c r="Q34" s="367">
        <v>2.93</v>
      </c>
      <c r="R34" s="368"/>
      <c r="S34" s="367">
        <v>2.4500000000000002</v>
      </c>
      <c r="T34" s="367"/>
      <c r="U34" s="367"/>
      <c r="V34" s="367">
        <v>2.4700000000000002</v>
      </c>
      <c r="W34" s="367">
        <v>2.4500000000000002</v>
      </c>
      <c r="X34" s="367">
        <v>1</v>
      </c>
      <c r="Y34" s="209"/>
      <c r="Z34" s="367">
        <v>2.72</v>
      </c>
      <c r="AA34" s="367">
        <v>3</v>
      </c>
      <c r="AB34" s="367">
        <v>3</v>
      </c>
      <c r="AC34" s="367">
        <v>3</v>
      </c>
      <c r="AD34" s="367">
        <v>3</v>
      </c>
      <c r="AE34" s="367">
        <v>3</v>
      </c>
      <c r="AF34" s="209"/>
      <c r="AG34" s="367"/>
      <c r="AH34" s="367"/>
      <c r="AI34" s="211"/>
      <c r="AJ34" s="323"/>
      <c r="AK34" s="212"/>
      <c r="AL34" s="212"/>
      <c r="AM34" s="212"/>
      <c r="AN34" s="212"/>
      <c r="AO34" s="174"/>
      <c r="AP34" s="174"/>
      <c r="AQ34" s="174"/>
      <c r="AR34" s="5"/>
      <c r="AS34" s="5"/>
      <c r="AT34" s="363"/>
    </row>
    <row r="35" spans="1:46" ht="19.5" customHeight="1" x14ac:dyDescent="0.25">
      <c r="A35" s="168">
        <f>A33+1</f>
        <v>13</v>
      </c>
      <c r="B35" s="172" t="s">
        <v>29</v>
      </c>
      <c r="C35" s="300" t="s">
        <v>30</v>
      </c>
      <c r="D35" s="169" t="s">
        <v>53</v>
      </c>
      <c r="E35" s="365">
        <v>8</v>
      </c>
      <c r="F35" s="365">
        <v>8</v>
      </c>
      <c r="G35" s="365">
        <v>8</v>
      </c>
      <c r="H35" s="365">
        <v>8</v>
      </c>
      <c r="I35" s="365">
        <v>8</v>
      </c>
      <c r="J35" s="365">
        <v>8</v>
      </c>
      <c r="K35" s="204"/>
      <c r="L35" s="365">
        <v>8</v>
      </c>
      <c r="M35" s="365">
        <v>8</v>
      </c>
      <c r="N35" s="365">
        <v>8</v>
      </c>
      <c r="O35" s="365">
        <v>8</v>
      </c>
      <c r="P35" s="365">
        <v>8</v>
      </c>
      <c r="Q35" s="365">
        <v>8</v>
      </c>
      <c r="R35" s="369"/>
      <c r="S35" s="365">
        <v>8</v>
      </c>
      <c r="T35" s="365">
        <v>8</v>
      </c>
      <c r="U35" s="365">
        <v>8</v>
      </c>
      <c r="V35" s="365">
        <v>8</v>
      </c>
      <c r="W35" s="365">
        <v>8</v>
      </c>
      <c r="X35" s="365">
        <v>8</v>
      </c>
      <c r="Y35" s="204"/>
      <c r="Z35" s="365">
        <v>8</v>
      </c>
      <c r="AA35" s="365">
        <v>8</v>
      </c>
      <c r="AB35" s="365">
        <v>8</v>
      </c>
      <c r="AC35" s="365">
        <v>8</v>
      </c>
      <c r="AD35" s="365">
        <v>8</v>
      </c>
      <c r="AE35" s="364">
        <v>8</v>
      </c>
      <c r="AF35" s="216"/>
      <c r="AG35" s="322">
        <v>8</v>
      </c>
      <c r="AH35" s="322">
        <v>8</v>
      </c>
      <c r="AI35" s="206"/>
      <c r="AJ35" s="183">
        <f>ROUND(SUM(E35:AI35)/8,1)</f>
        <v>26</v>
      </c>
      <c r="AK35" s="207">
        <f>SUM(F36:AJ36)-8</f>
        <v>34.58</v>
      </c>
      <c r="AL35" s="207">
        <v>8</v>
      </c>
      <c r="AM35" s="207">
        <f t="shared" ref="AM35" si="47">COUNTIF(E35:AI35,"L")</f>
        <v>0</v>
      </c>
      <c r="AN35" s="207">
        <f t="shared" ref="AN35" si="48">COUNTIF(E35:AI35,"P")</f>
        <v>0</v>
      </c>
      <c r="AO35" s="183">
        <f>VLOOKUP(C35,[1]BCC!$C$6:$DJ$75,10,0)</f>
        <v>4</v>
      </c>
      <c r="AP35" s="183">
        <f>AO35-AN35</f>
        <v>4</v>
      </c>
      <c r="AQ35" s="183"/>
      <c r="AR35" s="5"/>
      <c r="AS35" s="5"/>
      <c r="AT35" s="363"/>
    </row>
    <row r="36" spans="1:46" ht="19.5" customHeight="1" x14ac:dyDescent="0.25">
      <c r="A36" s="170"/>
      <c r="B36" s="173"/>
      <c r="C36" s="301"/>
      <c r="D36" s="171"/>
      <c r="E36" s="367">
        <v>2.78</v>
      </c>
      <c r="F36" s="367">
        <v>1.55</v>
      </c>
      <c r="G36" s="367">
        <v>2.5</v>
      </c>
      <c r="H36" s="367">
        <v>3.45</v>
      </c>
      <c r="I36" s="367">
        <v>3.45</v>
      </c>
      <c r="J36" s="367"/>
      <c r="K36" s="209"/>
      <c r="L36" s="367">
        <v>2.65</v>
      </c>
      <c r="M36" s="367">
        <v>2.35</v>
      </c>
      <c r="N36" s="367">
        <v>2.77</v>
      </c>
      <c r="O36" s="367"/>
      <c r="P36" s="367"/>
      <c r="Q36" s="367">
        <v>2.77</v>
      </c>
      <c r="R36" s="368"/>
      <c r="S36" s="367">
        <v>2.77</v>
      </c>
      <c r="T36" s="367"/>
      <c r="U36" s="367"/>
      <c r="V36" s="367">
        <v>3.45</v>
      </c>
      <c r="W36" s="367">
        <v>3.13</v>
      </c>
      <c r="X36" s="367">
        <v>1.07</v>
      </c>
      <c r="Y36" s="209"/>
      <c r="Z36" s="367">
        <v>2.67</v>
      </c>
      <c r="AA36" s="367"/>
      <c r="AB36" s="367"/>
      <c r="AC36" s="367"/>
      <c r="AD36" s="367"/>
      <c r="AE36" s="367"/>
      <c r="AF36" s="354">
        <v>8</v>
      </c>
      <c r="AG36" s="208"/>
      <c r="AH36" s="209"/>
      <c r="AI36" s="211"/>
      <c r="AJ36" s="323"/>
      <c r="AK36" s="214"/>
      <c r="AL36" s="214"/>
      <c r="AM36" s="214"/>
      <c r="AN36" s="214"/>
      <c r="AO36" s="193"/>
      <c r="AP36" s="193"/>
      <c r="AQ36" s="193"/>
      <c r="AR36" s="5"/>
      <c r="AS36" s="5"/>
      <c r="AT36" s="363"/>
    </row>
    <row r="37" spans="1:46" ht="19.5" customHeight="1" x14ac:dyDescent="0.25">
      <c r="A37" s="168">
        <f t="shared" ref="A37" si="49">A35+1</f>
        <v>14</v>
      </c>
      <c r="B37" s="172" t="s">
        <v>45</v>
      </c>
      <c r="C37" s="300" t="s">
        <v>46</v>
      </c>
      <c r="D37" s="169" t="s">
        <v>60</v>
      </c>
      <c r="E37" s="365">
        <v>8</v>
      </c>
      <c r="F37" s="365">
        <v>8</v>
      </c>
      <c r="G37" s="365">
        <v>8</v>
      </c>
      <c r="H37" s="365">
        <v>8</v>
      </c>
      <c r="I37" s="365">
        <v>8</v>
      </c>
      <c r="J37" s="365">
        <v>8</v>
      </c>
      <c r="K37" s="204"/>
      <c r="L37" s="365">
        <v>8</v>
      </c>
      <c r="M37" s="365">
        <v>8</v>
      </c>
      <c r="N37" s="365">
        <v>8</v>
      </c>
      <c r="O37" s="365">
        <v>8</v>
      </c>
      <c r="P37" s="365">
        <v>8</v>
      </c>
      <c r="Q37" s="365">
        <v>8</v>
      </c>
      <c r="R37" s="369"/>
      <c r="S37" s="365">
        <v>8</v>
      </c>
      <c r="T37" s="365">
        <v>8</v>
      </c>
      <c r="U37" s="365">
        <v>8</v>
      </c>
      <c r="V37" s="365">
        <v>8</v>
      </c>
      <c r="W37" s="365">
        <v>8</v>
      </c>
      <c r="X37" s="365">
        <v>8</v>
      </c>
      <c r="Y37" s="204"/>
      <c r="Z37" s="365">
        <v>8</v>
      </c>
      <c r="AA37" s="365">
        <v>8</v>
      </c>
      <c r="AB37" s="365">
        <v>8</v>
      </c>
      <c r="AC37" s="365">
        <v>8</v>
      </c>
      <c r="AD37" s="365">
        <v>8</v>
      </c>
      <c r="AE37" s="365">
        <v>8</v>
      </c>
      <c r="AF37" s="216"/>
      <c r="AG37" s="365">
        <v>8</v>
      </c>
      <c r="AH37" s="365">
        <v>8</v>
      </c>
      <c r="AI37" s="206"/>
      <c r="AJ37" s="183">
        <f>ROUND(SUM(E37:AI37)/8,1)</f>
        <v>26</v>
      </c>
      <c r="AK37" s="207">
        <f>SUM(F38:AJ38)</f>
        <v>21.47</v>
      </c>
      <c r="AL37" s="207"/>
      <c r="AM37" s="207">
        <f t="shared" ref="AM37" si="50">COUNTIF(E37:AI37,"L")</f>
        <v>0</v>
      </c>
      <c r="AN37" s="207">
        <f t="shared" ref="AN37" si="51">COUNTIF(E37:AI37,"P")</f>
        <v>0</v>
      </c>
      <c r="AO37" s="183">
        <f>VLOOKUP(C37,[1]BCC!$C$6:$DJ$75,10,0)</f>
        <v>1</v>
      </c>
      <c r="AP37" s="183">
        <f>AO37-AN37</f>
        <v>1</v>
      </c>
      <c r="AQ37" s="183"/>
      <c r="AR37" s="5"/>
      <c r="AS37" s="5"/>
      <c r="AT37" s="363"/>
    </row>
    <row r="38" spans="1:46" s="199" customFormat="1" ht="19.5" customHeight="1" x14ac:dyDescent="0.25">
      <c r="A38" s="194"/>
      <c r="B38" s="195"/>
      <c r="C38" s="303"/>
      <c r="D38" s="196"/>
      <c r="E38" s="367">
        <v>3.45</v>
      </c>
      <c r="F38" s="367"/>
      <c r="G38" s="367"/>
      <c r="H38" s="367">
        <v>3.8</v>
      </c>
      <c r="I38" s="367">
        <v>3.45</v>
      </c>
      <c r="J38" s="367"/>
      <c r="K38" s="209"/>
      <c r="L38" s="367">
        <v>3.9</v>
      </c>
      <c r="M38" s="367"/>
      <c r="N38" s="367"/>
      <c r="O38" s="367"/>
      <c r="P38" s="367">
        <v>3.32</v>
      </c>
      <c r="Q38" s="367"/>
      <c r="R38" s="368"/>
      <c r="S38" s="367"/>
      <c r="T38" s="367"/>
      <c r="U38" s="367"/>
      <c r="V38" s="367"/>
      <c r="W38" s="367"/>
      <c r="X38" s="367"/>
      <c r="Y38" s="209"/>
      <c r="Z38" s="367"/>
      <c r="AA38" s="367"/>
      <c r="AB38" s="367"/>
      <c r="AC38" s="367">
        <v>2</v>
      </c>
      <c r="AD38" s="367">
        <v>3.3</v>
      </c>
      <c r="AE38" s="367">
        <v>1.7</v>
      </c>
      <c r="AF38" s="209"/>
      <c r="AG38" s="367"/>
      <c r="AH38" s="367"/>
      <c r="AI38" s="211"/>
      <c r="AJ38" s="323"/>
      <c r="AK38" s="212"/>
      <c r="AL38" s="353"/>
      <c r="AM38" s="208"/>
      <c r="AN38" s="209"/>
      <c r="AO38" s="197"/>
      <c r="AP38" s="197"/>
      <c r="AQ38" s="197"/>
      <c r="AR38" s="198"/>
      <c r="AS38" s="5"/>
      <c r="AT38" s="363"/>
    </row>
    <row r="39" spans="1:46" ht="19.5" customHeight="1" x14ac:dyDescent="0.25">
      <c r="A39" s="189">
        <f t="shared" ref="A39:A55" si="52">A37+1</f>
        <v>15</v>
      </c>
      <c r="B39" s="190" t="s">
        <v>47</v>
      </c>
      <c r="C39" s="304" t="s">
        <v>48</v>
      </c>
      <c r="D39" s="191" t="s">
        <v>61</v>
      </c>
      <c r="E39" s="365">
        <v>8</v>
      </c>
      <c r="F39" s="365">
        <v>8</v>
      </c>
      <c r="G39" s="365">
        <v>8</v>
      </c>
      <c r="H39" s="364" t="s">
        <v>340</v>
      </c>
      <c r="I39" s="365">
        <v>8</v>
      </c>
      <c r="J39" s="365">
        <v>8</v>
      </c>
      <c r="K39" s="204"/>
      <c r="L39" s="365">
        <v>8</v>
      </c>
      <c r="M39" s="365">
        <v>8</v>
      </c>
      <c r="N39" s="365">
        <v>8</v>
      </c>
      <c r="O39" s="365">
        <v>8</v>
      </c>
      <c r="P39" s="365">
        <v>8</v>
      </c>
      <c r="Q39" s="365">
        <v>8</v>
      </c>
      <c r="R39" s="369"/>
      <c r="S39" s="365">
        <v>8</v>
      </c>
      <c r="T39" s="365">
        <v>8</v>
      </c>
      <c r="U39" s="365">
        <v>8</v>
      </c>
      <c r="V39" s="365">
        <v>8</v>
      </c>
      <c r="W39" s="365">
        <v>8</v>
      </c>
      <c r="X39" s="365">
        <v>8</v>
      </c>
      <c r="Y39" s="204"/>
      <c r="Z39" s="365">
        <v>8</v>
      </c>
      <c r="AA39" s="365">
        <v>8</v>
      </c>
      <c r="AB39" s="365">
        <v>8</v>
      </c>
      <c r="AC39" s="365">
        <v>8</v>
      </c>
      <c r="AD39" s="365">
        <v>8</v>
      </c>
      <c r="AE39" s="365">
        <v>8</v>
      </c>
      <c r="AF39" s="216"/>
      <c r="AG39" s="365">
        <v>8</v>
      </c>
      <c r="AH39" s="365">
        <v>8</v>
      </c>
      <c r="AI39" s="206"/>
      <c r="AJ39" s="183">
        <f>ROUND(SUM(E39:AI39)/8,1)</f>
        <v>25</v>
      </c>
      <c r="AK39" s="215">
        <f>SUM(F40:AJ40)</f>
        <v>39.049999999999997</v>
      </c>
      <c r="AL39" s="215"/>
      <c r="AM39" s="215">
        <f t="shared" ref="AM39" si="53">COUNTIF(E39:AI39,"L")</f>
        <v>0</v>
      </c>
      <c r="AN39" s="215">
        <f t="shared" ref="AN39" si="54">COUNTIF(E39:AI39,"P")</f>
        <v>1</v>
      </c>
      <c r="AO39" s="183">
        <f>VLOOKUP(C39,[1]BCC!$C$6:$DJ$75,10,0)</f>
        <v>6</v>
      </c>
      <c r="AP39" s="183">
        <f>AO39-AN39</f>
        <v>5</v>
      </c>
      <c r="AQ39" s="192"/>
      <c r="AR39" s="5"/>
      <c r="AS39" s="5"/>
      <c r="AT39" s="363"/>
    </row>
    <row r="40" spans="1:46" ht="19.5" customHeight="1" x14ac:dyDescent="0.25">
      <c r="A40" s="170"/>
      <c r="B40" s="173"/>
      <c r="C40" s="301"/>
      <c r="D40" s="171"/>
      <c r="E40" s="367">
        <v>2.0699999999999998</v>
      </c>
      <c r="F40" s="367"/>
      <c r="G40" s="367">
        <v>2.08</v>
      </c>
      <c r="H40" s="367"/>
      <c r="I40" s="367"/>
      <c r="J40" s="367"/>
      <c r="K40" s="209"/>
      <c r="L40" s="367">
        <v>2.1</v>
      </c>
      <c r="M40" s="367">
        <v>2.1</v>
      </c>
      <c r="N40" s="367">
        <v>2.12</v>
      </c>
      <c r="O40" s="367">
        <v>2.02</v>
      </c>
      <c r="P40" s="367">
        <v>2.17</v>
      </c>
      <c r="Q40" s="367"/>
      <c r="R40" s="368"/>
      <c r="S40" s="367">
        <v>2.82</v>
      </c>
      <c r="T40" s="367"/>
      <c r="U40" s="367"/>
      <c r="V40" s="367">
        <v>4</v>
      </c>
      <c r="W40" s="367"/>
      <c r="X40" s="367">
        <v>2.5</v>
      </c>
      <c r="Y40" s="209"/>
      <c r="Z40" s="367">
        <v>3.68</v>
      </c>
      <c r="AA40" s="367">
        <v>3.08</v>
      </c>
      <c r="AB40" s="367">
        <v>2.38</v>
      </c>
      <c r="AC40" s="367">
        <v>4</v>
      </c>
      <c r="AD40" s="367">
        <v>4</v>
      </c>
      <c r="AE40" s="367"/>
      <c r="AF40" s="209"/>
      <c r="AG40" s="367"/>
      <c r="AH40" s="367"/>
      <c r="AI40" s="211"/>
      <c r="AJ40" s="323"/>
      <c r="AK40" s="212"/>
      <c r="AL40" s="212"/>
      <c r="AM40" s="212"/>
      <c r="AN40" s="212"/>
      <c r="AO40" s="174"/>
      <c r="AP40" s="174"/>
      <c r="AQ40" s="174"/>
      <c r="AR40" s="5"/>
      <c r="AS40" s="5"/>
      <c r="AT40" s="363"/>
    </row>
    <row r="41" spans="1:46" ht="19.5" customHeight="1" x14ac:dyDescent="0.25">
      <c r="A41" s="168">
        <f t="shared" si="52"/>
        <v>16</v>
      </c>
      <c r="B41" s="172" t="s">
        <v>31</v>
      </c>
      <c r="C41" s="300" t="s">
        <v>32</v>
      </c>
      <c r="D41" s="169" t="s">
        <v>54</v>
      </c>
      <c r="E41" s="365">
        <v>8</v>
      </c>
      <c r="F41" s="365">
        <v>8</v>
      </c>
      <c r="G41" s="365">
        <v>8</v>
      </c>
      <c r="H41" s="365">
        <v>8</v>
      </c>
      <c r="I41" s="365">
        <v>8</v>
      </c>
      <c r="J41" s="365">
        <v>8</v>
      </c>
      <c r="K41" s="204"/>
      <c r="L41" s="365">
        <v>8</v>
      </c>
      <c r="M41" s="365">
        <v>8</v>
      </c>
      <c r="N41" s="365">
        <v>8</v>
      </c>
      <c r="O41" s="365">
        <v>8</v>
      </c>
      <c r="P41" s="365">
        <v>8</v>
      </c>
      <c r="Q41" s="365">
        <v>8</v>
      </c>
      <c r="R41" s="369"/>
      <c r="S41" s="365">
        <v>8</v>
      </c>
      <c r="T41" s="365">
        <v>8</v>
      </c>
      <c r="U41" s="365">
        <v>8</v>
      </c>
      <c r="V41" s="365">
        <v>8</v>
      </c>
      <c r="W41" s="365">
        <v>8</v>
      </c>
      <c r="X41" s="365">
        <v>8</v>
      </c>
      <c r="Y41" s="204"/>
      <c r="Z41" s="365">
        <v>8</v>
      </c>
      <c r="AA41" s="365">
        <v>8</v>
      </c>
      <c r="AB41" s="365">
        <v>8</v>
      </c>
      <c r="AC41" s="365">
        <v>8</v>
      </c>
      <c r="AD41" s="365">
        <v>8</v>
      </c>
      <c r="AE41" s="365">
        <v>8</v>
      </c>
      <c r="AF41" s="216"/>
      <c r="AG41" s="365">
        <v>8</v>
      </c>
      <c r="AH41" s="365">
        <v>8</v>
      </c>
      <c r="AI41" s="206"/>
      <c r="AJ41" s="183">
        <f>ROUND(SUM(E41:AI41)/8,1)</f>
        <v>26</v>
      </c>
      <c r="AK41" s="207">
        <f t="shared" ref="AK41" si="55">SUM(F42:AJ42)</f>
        <v>29.33</v>
      </c>
      <c r="AL41" s="207"/>
      <c r="AM41" s="207">
        <f t="shared" ref="AM41" si="56">COUNTIF(E41:AI41,"L")</f>
        <v>0</v>
      </c>
      <c r="AN41" s="207">
        <f t="shared" ref="AN41" si="57">COUNTIF(E41:AI41,"P")</f>
        <v>0</v>
      </c>
      <c r="AO41" s="183">
        <f>VLOOKUP(C41,[1]BCC!$C$6:$DJ$75,10,0)</f>
        <v>6</v>
      </c>
      <c r="AP41" s="183">
        <f>AO41-AN41</f>
        <v>6</v>
      </c>
      <c r="AQ41" s="183"/>
      <c r="AR41" s="5"/>
      <c r="AS41" s="5"/>
      <c r="AT41" s="363"/>
    </row>
    <row r="42" spans="1:46" ht="19.5" customHeight="1" x14ac:dyDescent="0.25">
      <c r="A42" s="170"/>
      <c r="B42" s="173"/>
      <c r="C42" s="301"/>
      <c r="D42" s="171"/>
      <c r="E42" s="367"/>
      <c r="F42" s="367"/>
      <c r="G42" s="367">
        <v>0.53</v>
      </c>
      <c r="H42" s="367"/>
      <c r="I42" s="367">
        <v>0.6</v>
      </c>
      <c r="J42" s="367"/>
      <c r="K42" s="209"/>
      <c r="L42" s="367"/>
      <c r="M42" s="367"/>
      <c r="N42" s="367"/>
      <c r="O42" s="367"/>
      <c r="P42" s="367"/>
      <c r="Q42" s="367">
        <v>1.67</v>
      </c>
      <c r="R42" s="368"/>
      <c r="S42" s="367"/>
      <c r="T42" s="367">
        <v>3.05</v>
      </c>
      <c r="U42" s="367">
        <v>2.58</v>
      </c>
      <c r="V42" s="367"/>
      <c r="W42" s="367">
        <v>3.02</v>
      </c>
      <c r="X42" s="367">
        <v>1.03</v>
      </c>
      <c r="Y42" s="209">
        <v>9.15</v>
      </c>
      <c r="Z42" s="367"/>
      <c r="AA42" s="367">
        <v>2.52</v>
      </c>
      <c r="AB42" s="367">
        <v>4</v>
      </c>
      <c r="AC42" s="367"/>
      <c r="AD42" s="367"/>
      <c r="AE42" s="367">
        <v>1.18</v>
      </c>
      <c r="AF42" s="209"/>
      <c r="AG42" s="367"/>
      <c r="AH42" s="367"/>
      <c r="AI42" s="211"/>
      <c r="AJ42" s="323"/>
      <c r="AK42" s="212"/>
      <c r="AL42" s="212"/>
      <c r="AM42" s="212"/>
      <c r="AN42" s="212"/>
      <c r="AO42" s="174"/>
      <c r="AP42" s="174"/>
      <c r="AQ42" s="174"/>
      <c r="AR42" s="5"/>
      <c r="AS42" s="5"/>
      <c r="AT42" s="363"/>
    </row>
    <row r="43" spans="1:46" ht="19.5" customHeight="1" x14ac:dyDescent="0.25">
      <c r="A43" s="168">
        <f t="shared" si="52"/>
        <v>17</v>
      </c>
      <c r="B43" s="172" t="s">
        <v>33</v>
      </c>
      <c r="C43" s="300" t="s">
        <v>34</v>
      </c>
      <c r="D43" s="169" t="s">
        <v>54</v>
      </c>
      <c r="E43" s="365">
        <f>VLOOKUP(C43,[1]BCC!$C$6:$AT$75,15,0)</f>
        <v>8</v>
      </c>
      <c r="F43" s="365">
        <v>8</v>
      </c>
      <c r="G43" s="365">
        <v>8</v>
      </c>
      <c r="H43" s="365">
        <v>8</v>
      </c>
      <c r="I43" s="365">
        <v>8</v>
      </c>
      <c r="J43" s="365">
        <v>8</v>
      </c>
      <c r="K43" s="204"/>
      <c r="L43" s="365">
        <v>8</v>
      </c>
      <c r="M43" s="365">
        <v>8</v>
      </c>
      <c r="N43" s="365">
        <v>8</v>
      </c>
      <c r="O43" s="365" t="s">
        <v>340</v>
      </c>
      <c r="P43" s="365">
        <v>8</v>
      </c>
      <c r="Q43" s="365">
        <v>8</v>
      </c>
      <c r="R43" s="369"/>
      <c r="S43" s="365">
        <v>8</v>
      </c>
      <c r="T43" s="365">
        <v>8</v>
      </c>
      <c r="U43" s="365">
        <v>8</v>
      </c>
      <c r="V43" s="365">
        <v>8</v>
      </c>
      <c r="W43" s="365">
        <v>8</v>
      </c>
      <c r="X43" s="365">
        <v>8</v>
      </c>
      <c r="Y43" s="204"/>
      <c r="Z43" s="365">
        <v>8</v>
      </c>
      <c r="AA43" s="365">
        <v>8</v>
      </c>
      <c r="AB43" s="365">
        <v>8</v>
      </c>
      <c r="AC43" s="365">
        <v>8</v>
      </c>
      <c r="AD43" s="365">
        <v>8</v>
      </c>
      <c r="AE43" s="365">
        <v>8</v>
      </c>
      <c r="AF43" s="216"/>
      <c r="AG43" s="365">
        <v>8</v>
      </c>
      <c r="AH43" s="365">
        <v>8</v>
      </c>
      <c r="AI43" s="206"/>
      <c r="AJ43" s="183">
        <f>ROUND(SUM(E43:AI43)/8,1)</f>
        <v>25</v>
      </c>
      <c r="AK43" s="207">
        <f t="shared" ref="AK43" si="58">SUM(F44:AJ44)</f>
        <v>12.333</v>
      </c>
      <c r="AL43" s="207"/>
      <c r="AM43" s="207">
        <f t="shared" ref="AM43" si="59">COUNTIF(E43:AI43,"L")</f>
        <v>0</v>
      </c>
      <c r="AN43" s="207">
        <f t="shared" ref="AN43" si="60">COUNTIF(E43:AI43,"P")</f>
        <v>1</v>
      </c>
      <c r="AO43" s="183">
        <f>VLOOKUP(C43,[1]BCC!$C$6:$DJ$75,10,0)</f>
        <v>5</v>
      </c>
      <c r="AP43" s="183">
        <f>AO43-AN43</f>
        <v>4</v>
      </c>
      <c r="AQ43" s="183"/>
      <c r="AR43" s="5"/>
      <c r="AS43" s="5"/>
      <c r="AT43" s="363"/>
    </row>
    <row r="44" spans="1:46" ht="19.5" customHeight="1" x14ac:dyDescent="0.25">
      <c r="A44" s="170"/>
      <c r="B44" s="173"/>
      <c r="C44" s="301"/>
      <c r="D44" s="171"/>
      <c r="E44" s="367"/>
      <c r="F44" s="367"/>
      <c r="G44" s="367"/>
      <c r="H44" s="367"/>
      <c r="I44" s="367"/>
      <c r="J44" s="367"/>
      <c r="K44" s="209"/>
      <c r="L44" s="367"/>
      <c r="M44" s="367"/>
      <c r="N44" s="367"/>
      <c r="O44" s="367"/>
      <c r="P44" s="367"/>
      <c r="Q44" s="367"/>
      <c r="R44" s="368"/>
      <c r="S44" s="367"/>
      <c r="T44" s="367"/>
      <c r="U44" s="367"/>
      <c r="V44" s="367">
        <v>3.8</v>
      </c>
      <c r="W44" s="367"/>
      <c r="X44" s="367"/>
      <c r="Y44" s="209"/>
      <c r="Z44" s="367"/>
      <c r="AA44" s="367">
        <v>2.5129999999999999</v>
      </c>
      <c r="AB44" s="367"/>
      <c r="AC44" s="367">
        <v>3.02</v>
      </c>
      <c r="AD44" s="367">
        <v>3</v>
      </c>
      <c r="AE44" s="367"/>
      <c r="AF44" s="209"/>
      <c r="AG44" s="367"/>
      <c r="AH44" s="367"/>
      <c r="AI44" s="211"/>
      <c r="AJ44" s="323"/>
      <c r="AK44" s="212"/>
      <c r="AL44" s="212"/>
      <c r="AM44" s="212"/>
      <c r="AN44" s="212"/>
      <c r="AO44" s="174"/>
      <c r="AP44" s="174"/>
      <c r="AQ44" s="174"/>
      <c r="AR44" s="5"/>
      <c r="AS44" s="5"/>
      <c r="AT44" s="363"/>
    </row>
    <row r="45" spans="1:46" ht="19.5" customHeight="1" x14ac:dyDescent="0.25">
      <c r="A45" s="168">
        <f t="shared" si="52"/>
        <v>18</v>
      </c>
      <c r="B45" s="172" t="s">
        <v>35</v>
      </c>
      <c r="C45" s="300" t="s">
        <v>36</v>
      </c>
      <c r="D45" s="169" t="s">
        <v>54</v>
      </c>
      <c r="E45" s="365">
        <v>8</v>
      </c>
      <c r="F45" s="365">
        <v>8</v>
      </c>
      <c r="G45" s="365">
        <v>8</v>
      </c>
      <c r="H45" s="365">
        <v>8</v>
      </c>
      <c r="I45" s="365">
        <v>8</v>
      </c>
      <c r="J45" s="365">
        <v>8</v>
      </c>
      <c r="K45" s="204"/>
      <c r="L45" s="365">
        <v>8</v>
      </c>
      <c r="M45" s="365">
        <v>8</v>
      </c>
      <c r="N45" s="365">
        <v>8</v>
      </c>
      <c r="O45" s="365">
        <v>8</v>
      </c>
      <c r="P45" s="365">
        <v>8</v>
      </c>
      <c r="Q45" s="365">
        <v>8</v>
      </c>
      <c r="R45" s="369"/>
      <c r="S45" s="365">
        <v>8</v>
      </c>
      <c r="T45" s="365">
        <v>8</v>
      </c>
      <c r="U45" s="365">
        <v>8</v>
      </c>
      <c r="V45" s="365">
        <v>8</v>
      </c>
      <c r="W45" s="365">
        <v>8</v>
      </c>
      <c r="X45" s="365">
        <v>8</v>
      </c>
      <c r="Y45" s="204"/>
      <c r="Z45" s="365">
        <v>8</v>
      </c>
      <c r="AA45" s="365">
        <v>8</v>
      </c>
      <c r="AB45" s="365">
        <v>8</v>
      </c>
      <c r="AC45" s="365">
        <v>8</v>
      </c>
      <c r="AD45" s="365">
        <v>8</v>
      </c>
      <c r="AE45" s="365">
        <v>8</v>
      </c>
      <c r="AF45" s="216"/>
      <c r="AG45" s="365">
        <v>8</v>
      </c>
      <c r="AH45" s="365">
        <v>8</v>
      </c>
      <c r="AI45" s="206"/>
      <c r="AJ45" s="183">
        <f>ROUND(SUM(E45:AI45)/8,1)</f>
        <v>26</v>
      </c>
      <c r="AK45" s="207">
        <f>SUM(E46:AJ46)</f>
        <v>10.28</v>
      </c>
      <c r="AL45" s="207"/>
      <c r="AM45" s="207">
        <f t="shared" ref="AM45" si="61">COUNTIF(E45:AI45,"L")</f>
        <v>0</v>
      </c>
      <c r="AN45" s="207">
        <f t="shared" ref="AN45" si="62">COUNTIF(E45:AI45,"P")</f>
        <v>0</v>
      </c>
      <c r="AO45" s="183">
        <f>VLOOKUP(C45,[1]BCC!$C$6:$DJ$75,10,0)</f>
        <v>6</v>
      </c>
      <c r="AP45" s="183">
        <f>AO45-AN45</f>
        <v>6</v>
      </c>
      <c r="AQ45" s="183"/>
      <c r="AR45" s="5"/>
      <c r="AS45" s="5"/>
      <c r="AT45" s="363"/>
    </row>
    <row r="46" spans="1:46" ht="19.5" customHeight="1" x14ac:dyDescent="0.25">
      <c r="A46" s="170"/>
      <c r="B46" s="173"/>
      <c r="C46" s="301"/>
      <c r="D46" s="171"/>
      <c r="E46" s="367"/>
      <c r="F46" s="367"/>
      <c r="G46" s="367"/>
      <c r="H46" s="367"/>
      <c r="I46" s="367"/>
      <c r="J46" s="367"/>
      <c r="K46" s="209"/>
      <c r="L46" s="367"/>
      <c r="M46" s="367"/>
      <c r="N46" s="367"/>
      <c r="O46" s="367"/>
      <c r="P46" s="367"/>
      <c r="Q46" s="367"/>
      <c r="R46" s="368"/>
      <c r="S46" s="367"/>
      <c r="T46" s="367"/>
      <c r="U46" s="367"/>
      <c r="V46" s="367"/>
      <c r="W46" s="367"/>
      <c r="X46" s="367"/>
      <c r="Y46" s="209"/>
      <c r="Z46" s="367"/>
      <c r="AA46" s="367">
        <v>2.2000000000000002</v>
      </c>
      <c r="AB46" s="367">
        <v>2.8</v>
      </c>
      <c r="AC46" s="367">
        <v>3</v>
      </c>
      <c r="AD46" s="367">
        <v>2.2799999999999998</v>
      </c>
      <c r="AE46" s="367"/>
      <c r="AF46" s="209"/>
      <c r="AG46" s="367"/>
      <c r="AH46" s="367"/>
      <c r="AI46" s="211"/>
      <c r="AJ46" s="323"/>
      <c r="AK46" s="212"/>
      <c r="AL46" s="212"/>
      <c r="AM46" s="212"/>
      <c r="AN46" s="212"/>
      <c r="AO46" s="174"/>
      <c r="AP46" s="174"/>
      <c r="AQ46" s="174"/>
      <c r="AR46" s="5"/>
      <c r="AS46" s="5"/>
      <c r="AT46" s="363"/>
    </row>
    <row r="47" spans="1:46" ht="19.5" customHeight="1" x14ac:dyDescent="0.25">
      <c r="A47" s="168">
        <f t="shared" si="52"/>
        <v>19</v>
      </c>
      <c r="B47" s="172" t="s">
        <v>37</v>
      </c>
      <c r="C47" s="300" t="s">
        <v>38</v>
      </c>
      <c r="D47" s="169" t="s">
        <v>54</v>
      </c>
      <c r="E47" s="365">
        <v>8</v>
      </c>
      <c r="F47" s="365">
        <v>8</v>
      </c>
      <c r="G47" s="365">
        <v>8</v>
      </c>
      <c r="H47" s="365">
        <v>8</v>
      </c>
      <c r="I47" s="365">
        <v>8</v>
      </c>
      <c r="J47" s="365">
        <v>8</v>
      </c>
      <c r="K47" s="204"/>
      <c r="L47" s="365">
        <v>8</v>
      </c>
      <c r="M47" s="365">
        <v>8</v>
      </c>
      <c r="N47" s="365">
        <v>8</v>
      </c>
      <c r="O47" s="365">
        <v>8</v>
      </c>
      <c r="P47" s="365">
        <v>8</v>
      </c>
      <c r="Q47" s="365" t="s">
        <v>340</v>
      </c>
      <c r="R47" s="369"/>
      <c r="S47" s="365">
        <v>8</v>
      </c>
      <c r="T47" s="365">
        <v>8</v>
      </c>
      <c r="U47" s="365">
        <v>8</v>
      </c>
      <c r="V47" s="365">
        <v>8</v>
      </c>
      <c r="W47" s="365">
        <v>8</v>
      </c>
      <c r="X47" s="365">
        <v>8</v>
      </c>
      <c r="Y47" s="204"/>
      <c r="Z47" s="365">
        <v>8</v>
      </c>
      <c r="AA47" s="365">
        <v>8</v>
      </c>
      <c r="AB47" s="365">
        <v>8</v>
      </c>
      <c r="AC47" s="365">
        <v>8</v>
      </c>
      <c r="AD47" s="365">
        <v>8</v>
      </c>
      <c r="AE47" s="364" t="s">
        <v>340</v>
      </c>
      <c r="AF47" s="216"/>
      <c r="AG47" s="365">
        <v>8</v>
      </c>
      <c r="AH47" s="365">
        <v>8</v>
      </c>
      <c r="AI47" s="206"/>
      <c r="AJ47" s="183">
        <f>ROUND(SUM(E47:AI47)/8,1)</f>
        <v>24</v>
      </c>
      <c r="AK47" s="207">
        <f>SUM(E48:AJ48)</f>
        <v>25.46</v>
      </c>
      <c r="AL47" s="207"/>
      <c r="AM47" s="207">
        <f t="shared" ref="AM47" si="63">COUNTIF(E47:AI47,"L")</f>
        <v>0</v>
      </c>
      <c r="AN47" s="207">
        <f t="shared" ref="AN47" si="64">COUNTIF(E47:AI47,"P")</f>
        <v>2</v>
      </c>
      <c r="AO47" s="183">
        <f>VLOOKUP(C47,[1]BCC!$C$6:$DJ$75,10,0)</f>
        <v>2</v>
      </c>
      <c r="AP47" s="183">
        <f>AO47-AN47</f>
        <v>0</v>
      </c>
      <c r="AQ47" s="183"/>
      <c r="AR47" s="5"/>
      <c r="AS47" s="5"/>
      <c r="AT47" s="363"/>
    </row>
    <row r="48" spans="1:46" ht="19.5" customHeight="1" x14ac:dyDescent="0.25">
      <c r="A48" s="170"/>
      <c r="B48" s="173"/>
      <c r="C48" s="301"/>
      <c r="D48" s="171"/>
      <c r="E48" s="367"/>
      <c r="F48" s="367"/>
      <c r="G48" s="367"/>
      <c r="H48" s="367"/>
      <c r="I48" s="367"/>
      <c r="J48" s="367"/>
      <c r="K48" s="209"/>
      <c r="L48" s="367">
        <v>1.81</v>
      </c>
      <c r="M48" s="367">
        <v>3.4</v>
      </c>
      <c r="N48" s="367"/>
      <c r="O48" s="367"/>
      <c r="P48" s="367"/>
      <c r="Q48" s="367"/>
      <c r="R48" s="368"/>
      <c r="S48" s="367"/>
      <c r="T48" s="367">
        <v>3.05</v>
      </c>
      <c r="U48" s="367">
        <v>3.58</v>
      </c>
      <c r="V48" s="367">
        <v>3.15</v>
      </c>
      <c r="W48" s="367">
        <v>3.48</v>
      </c>
      <c r="X48" s="367"/>
      <c r="Y48" s="209"/>
      <c r="Z48" s="367"/>
      <c r="AA48" s="367"/>
      <c r="AB48" s="367">
        <v>1.37</v>
      </c>
      <c r="AC48" s="367">
        <v>3</v>
      </c>
      <c r="AD48" s="367">
        <v>2.62</v>
      </c>
      <c r="AE48" s="367"/>
      <c r="AF48" s="209"/>
      <c r="AG48" s="367"/>
      <c r="AH48" s="367"/>
      <c r="AI48" s="211"/>
      <c r="AJ48" s="323"/>
      <c r="AK48" s="212"/>
      <c r="AL48" s="212"/>
      <c r="AM48" s="212"/>
      <c r="AN48" s="212"/>
      <c r="AO48" s="174"/>
      <c r="AP48" s="174"/>
      <c r="AQ48" s="174"/>
      <c r="AR48" s="5"/>
      <c r="AS48" s="5"/>
      <c r="AT48" s="363"/>
    </row>
    <row r="49" spans="1:46" ht="19.5" customHeight="1" x14ac:dyDescent="0.25">
      <c r="A49" s="168">
        <f t="shared" si="52"/>
        <v>20</v>
      </c>
      <c r="B49" s="172" t="s">
        <v>39</v>
      </c>
      <c r="C49" s="300" t="s">
        <v>40</v>
      </c>
      <c r="D49" s="169" t="s">
        <v>54</v>
      </c>
      <c r="E49" s="205">
        <v>8</v>
      </c>
      <c r="F49" s="205">
        <v>8</v>
      </c>
      <c r="G49" s="322" t="s">
        <v>340</v>
      </c>
      <c r="H49" s="205">
        <v>8</v>
      </c>
      <c r="I49" s="205">
        <v>8</v>
      </c>
      <c r="J49" s="205">
        <v>8</v>
      </c>
      <c r="K49" s="204"/>
      <c r="L49" s="365">
        <v>8</v>
      </c>
      <c r="M49" s="365">
        <v>8</v>
      </c>
      <c r="N49" s="365">
        <v>8</v>
      </c>
      <c r="O49" s="365">
        <v>8</v>
      </c>
      <c r="P49" s="365">
        <v>8</v>
      </c>
      <c r="Q49" s="365">
        <v>8</v>
      </c>
      <c r="R49" s="369"/>
      <c r="S49" s="365">
        <v>8</v>
      </c>
      <c r="T49" s="365">
        <v>8</v>
      </c>
      <c r="U49" s="365">
        <v>8</v>
      </c>
      <c r="V49" s="365">
        <v>8</v>
      </c>
      <c r="W49" s="365">
        <v>8</v>
      </c>
      <c r="X49" s="365">
        <v>8</v>
      </c>
      <c r="Y49" s="204"/>
      <c r="Z49" s="365">
        <v>8</v>
      </c>
      <c r="AA49" s="365">
        <v>8</v>
      </c>
      <c r="AB49" s="365">
        <v>8</v>
      </c>
      <c r="AC49" s="365">
        <v>8</v>
      </c>
      <c r="AD49" s="365">
        <v>8</v>
      </c>
      <c r="AE49" s="365">
        <v>8</v>
      </c>
      <c r="AF49" s="216"/>
      <c r="AG49" s="365">
        <v>8</v>
      </c>
      <c r="AH49" s="365">
        <v>8</v>
      </c>
      <c r="AI49" s="206"/>
      <c r="AJ49" s="183">
        <f>ROUND(SUM(E49:AI49)/8,1)</f>
        <v>25</v>
      </c>
      <c r="AK49" s="207">
        <f>SUM(E50:AJ50)</f>
        <v>21.075999999999997</v>
      </c>
      <c r="AL49" s="207"/>
      <c r="AM49" s="207">
        <f t="shared" ref="AM49" si="65">COUNTIF(E49:AI49,"L")</f>
        <v>0</v>
      </c>
      <c r="AN49" s="207">
        <f t="shared" ref="AN49" si="66">COUNTIF(E49:AI49,"P")</f>
        <v>1</v>
      </c>
      <c r="AO49" s="183">
        <f>VLOOKUP(C49,[1]BCC!$C$6:$DJ$75,10,0)</f>
        <v>1</v>
      </c>
      <c r="AP49" s="183">
        <f>AO49-AN49</f>
        <v>0</v>
      </c>
      <c r="AQ49" s="183"/>
      <c r="AR49" s="5"/>
      <c r="AS49" s="5"/>
      <c r="AT49" s="363"/>
    </row>
    <row r="50" spans="1:46" ht="19.5" customHeight="1" x14ac:dyDescent="0.25">
      <c r="A50" s="170"/>
      <c r="B50" s="173"/>
      <c r="C50" s="301"/>
      <c r="D50" s="171"/>
      <c r="E50" s="208"/>
      <c r="F50" s="209"/>
      <c r="G50" s="209"/>
      <c r="H50" s="210"/>
      <c r="I50" s="209"/>
      <c r="J50" s="209"/>
      <c r="K50" s="209"/>
      <c r="L50" s="367"/>
      <c r="M50" s="367"/>
      <c r="N50" s="367"/>
      <c r="O50" s="367">
        <v>2</v>
      </c>
      <c r="P50" s="367">
        <v>2.67</v>
      </c>
      <c r="Q50" s="367"/>
      <c r="R50" s="368"/>
      <c r="S50" s="367"/>
      <c r="T50" s="367"/>
      <c r="U50" s="367">
        <v>2.68</v>
      </c>
      <c r="V50" s="367">
        <v>2.2200000000000002</v>
      </c>
      <c r="W50" s="367">
        <v>2</v>
      </c>
      <c r="X50" s="367">
        <v>3.726</v>
      </c>
      <c r="Y50" s="209"/>
      <c r="Z50" s="367"/>
      <c r="AA50" s="367"/>
      <c r="AB50" s="367">
        <v>1.1299999999999999</v>
      </c>
      <c r="AC50" s="367">
        <v>3.02</v>
      </c>
      <c r="AD50" s="367">
        <v>1.63</v>
      </c>
      <c r="AE50" s="367"/>
      <c r="AF50" s="209"/>
      <c r="AG50" s="367"/>
      <c r="AH50" s="367"/>
      <c r="AI50" s="211"/>
      <c r="AJ50" s="323"/>
      <c r="AK50" s="212"/>
      <c r="AL50" s="212"/>
      <c r="AM50" s="212"/>
      <c r="AN50" s="212"/>
      <c r="AO50" s="174"/>
      <c r="AP50" s="174"/>
      <c r="AQ50" s="174"/>
      <c r="AR50" s="5"/>
      <c r="AS50" s="5"/>
      <c r="AT50" s="363"/>
    </row>
    <row r="51" spans="1:46" ht="19.5" customHeight="1" x14ac:dyDescent="0.25">
      <c r="A51" s="168">
        <f t="shared" si="52"/>
        <v>21</v>
      </c>
      <c r="B51" s="172" t="s">
        <v>41</v>
      </c>
      <c r="C51" s="300" t="s">
        <v>42</v>
      </c>
      <c r="D51" s="169" t="s">
        <v>54</v>
      </c>
      <c r="E51" s="205">
        <v>8</v>
      </c>
      <c r="F51" s="205">
        <v>8</v>
      </c>
      <c r="G51" s="205">
        <v>8</v>
      </c>
      <c r="H51" s="205">
        <v>8</v>
      </c>
      <c r="I51" s="205">
        <v>8</v>
      </c>
      <c r="J51" s="205">
        <v>8</v>
      </c>
      <c r="K51" s="204"/>
      <c r="L51" s="365">
        <v>8</v>
      </c>
      <c r="M51" s="365">
        <v>8</v>
      </c>
      <c r="N51" s="365">
        <v>8</v>
      </c>
      <c r="O51" s="365">
        <v>8</v>
      </c>
      <c r="P51" s="365">
        <v>8</v>
      </c>
      <c r="Q51" s="365">
        <v>8</v>
      </c>
      <c r="R51" s="369"/>
      <c r="S51" s="365">
        <v>8</v>
      </c>
      <c r="T51" s="365">
        <v>8</v>
      </c>
      <c r="U51" s="365">
        <v>8</v>
      </c>
      <c r="V51" s="365">
        <v>8</v>
      </c>
      <c r="W51" s="365">
        <v>8</v>
      </c>
      <c r="X51" s="365">
        <v>8</v>
      </c>
      <c r="Y51" s="204"/>
      <c r="Z51" s="365">
        <v>8</v>
      </c>
      <c r="AA51" s="365">
        <v>8</v>
      </c>
      <c r="AB51" s="365">
        <v>8</v>
      </c>
      <c r="AC51" s="365">
        <v>8</v>
      </c>
      <c r="AD51" s="365">
        <v>8</v>
      </c>
      <c r="AE51" s="365">
        <v>8</v>
      </c>
      <c r="AF51" s="216"/>
      <c r="AG51" s="365">
        <v>8</v>
      </c>
      <c r="AH51" s="365">
        <v>8</v>
      </c>
      <c r="AI51" s="206"/>
      <c r="AJ51" s="183">
        <f>ROUND(SUM(E51:AI51)/8,1)</f>
        <v>26</v>
      </c>
      <c r="AK51" s="207">
        <f>SUM(E52:AJ52)</f>
        <v>10.690000000000001</v>
      </c>
      <c r="AL51" s="207"/>
      <c r="AM51" s="207">
        <f t="shared" ref="AM51" si="67">COUNTIF(E51:AI51,"L")</f>
        <v>0</v>
      </c>
      <c r="AN51" s="207">
        <f t="shared" ref="AN51" si="68">COUNTIF(E51:AI51,"P")</f>
        <v>0</v>
      </c>
      <c r="AO51" s="183">
        <f>VLOOKUP(C51,[1]BCC!$C$6:$DJ$75,10,0)</f>
        <v>1</v>
      </c>
      <c r="AP51" s="183">
        <f>AO51-AN51</f>
        <v>1</v>
      </c>
      <c r="AQ51" s="183"/>
      <c r="AR51" s="5"/>
      <c r="AS51" s="5"/>
      <c r="AT51" s="363"/>
    </row>
    <row r="52" spans="1:46" ht="19.5" customHeight="1" x14ac:dyDescent="0.25">
      <c r="A52" s="170"/>
      <c r="B52" s="173"/>
      <c r="C52" s="301"/>
      <c r="D52" s="171"/>
      <c r="E52" s="208"/>
      <c r="F52" s="209"/>
      <c r="G52" s="209"/>
      <c r="H52" s="213"/>
      <c r="I52" s="209"/>
      <c r="J52" s="209"/>
      <c r="K52" s="209"/>
      <c r="L52" s="367"/>
      <c r="M52" s="367"/>
      <c r="N52" s="367"/>
      <c r="O52" s="367"/>
      <c r="P52" s="367">
        <v>2.68</v>
      </c>
      <c r="Q52" s="367"/>
      <c r="R52" s="368"/>
      <c r="S52" s="367"/>
      <c r="T52" s="367"/>
      <c r="U52" s="367"/>
      <c r="V52" s="367">
        <v>2.2200000000000002</v>
      </c>
      <c r="W52" s="367"/>
      <c r="X52" s="367"/>
      <c r="Y52" s="209"/>
      <c r="Z52" s="367"/>
      <c r="AA52" s="367"/>
      <c r="AB52" s="367">
        <v>1.1299999999999999</v>
      </c>
      <c r="AC52" s="367">
        <v>3.03</v>
      </c>
      <c r="AD52" s="367">
        <v>1.63</v>
      </c>
      <c r="AE52" s="367"/>
      <c r="AF52" s="209"/>
      <c r="AG52" s="367"/>
      <c r="AH52" s="367"/>
      <c r="AI52" s="211"/>
      <c r="AJ52" s="323"/>
      <c r="AK52" s="212"/>
      <c r="AL52" s="212"/>
      <c r="AM52" s="212"/>
      <c r="AN52" s="212"/>
      <c r="AO52" s="174"/>
      <c r="AP52" s="174"/>
      <c r="AQ52" s="174"/>
      <c r="AR52" s="5"/>
      <c r="AS52" s="5"/>
      <c r="AT52" s="363"/>
    </row>
    <row r="53" spans="1:46" ht="19.5" customHeight="1" x14ac:dyDescent="0.25">
      <c r="A53" s="168">
        <f t="shared" si="52"/>
        <v>22</v>
      </c>
      <c r="B53" s="172" t="s">
        <v>182</v>
      </c>
      <c r="C53" s="300" t="s">
        <v>107</v>
      </c>
      <c r="D53" s="169" t="s">
        <v>54</v>
      </c>
      <c r="E53" s="205">
        <v>8</v>
      </c>
      <c r="F53" s="205">
        <v>8</v>
      </c>
      <c r="G53" s="205">
        <v>8</v>
      </c>
      <c r="H53" s="205">
        <v>8</v>
      </c>
      <c r="I53" s="205">
        <v>8</v>
      </c>
      <c r="J53" s="205">
        <v>8</v>
      </c>
      <c r="K53" s="204"/>
      <c r="L53" s="365">
        <v>8</v>
      </c>
      <c r="M53" s="365">
        <v>8</v>
      </c>
      <c r="N53" s="365">
        <v>8</v>
      </c>
      <c r="O53" s="365">
        <v>8</v>
      </c>
      <c r="P53" s="365">
        <v>8</v>
      </c>
      <c r="Q53" s="365">
        <v>8</v>
      </c>
      <c r="R53" s="369"/>
      <c r="S53" s="365">
        <v>8</v>
      </c>
      <c r="T53" s="365">
        <v>8</v>
      </c>
      <c r="U53" s="365">
        <v>8</v>
      </c>
      <c r="V53" s="365">
        <v>8</v>
      </c>
      <c r="W53" s="365">
        <v>8</v>
      </c>
      <c r="X53" s="365">
        <v>8</v>
      </c>
      <c r="Y53" s="204"/>
      <c r="Z53" s="365">
        <v>8</v>
      </c>
      <c r="AA53" s="365">
        <v>8</v>
      </c>
      <c r="AB53" s="365">
        <v>8</v>
      </c>
      <c r="AC53" s="365">
        <v>8</v>
      </c>
      <c r="AD53" s="365">
        <v>8</v>
      </c>
      <c r="AE53" s="365">
        <v>8</v>
      </c>
      <c r="AF53" s="216"/>
      <c r="AG53" s="365">
        <v>8</v>
      </c>
      <c r="AH53" s="365">
        <v>8</v>
      </c>
      <c r="AI53" s="206"/>
      <c r="AJ53" s="183">
        <f>ROUND(SUM(E53:AI53)/8,1)</f>
        <v>26</v>
      </c>
      <c r="AK53" s="207">
        <f>SUM(E54:AJ54)</f>
        <v>19.649999999999999</v>
      </c>
      <c r="AL53" s="207"/>
      <c r="AM53" s="207">
        <f t="shared" ref="AM53" si="69">COUNTIF(E53:AI53,"L")</f>
        <v>0</v>
      </c>
      <c r="AN53" s="207">
        <f t="shared" ref="AN53" si="70">COUNTIF(E53:AI53,"P")</f>
        <v>0</v>
      </c>
      <c r="AO53" s="183">
        <v>4</v>
      </c>
      <c r="AP53" s="183">
        <v>4</v>
      </c>
      <c r="AQ53" s="183"/>
      <c r="AR53" s="5"/>
      <c r="AS53" s="5"/>
      <c r="AT53" s="363"/>
    </row>
    <row r="54" spans="1:46" ht="19.5" customHeight="1" x14ac:dyDescent="0.25">
      <c r="A54" s="170"/>
      <c r="B54" s="173"/>
      <c r="C54" s="301"/>
      <c r="D54" s="171"/>
      <c r="E54" s="208"/>
      <c r="F54" s="209"/>
      <c r="G54" s="209"/>
      <c r="H54" s="213"/>
      <c r="I54" s="209"/>
      <c r="J54" s="209"/>
      <c r="K54" s="209"/>
      <c r="L54" s="367"/>
      <c r="M54" s="367"/>
      <c r="N54" s="367"/>
      <c r="O54" s="367"/>
      <c r="P54" s="367"/>
      <c r="Q54" s="367">
        <v>2</v>
      </c>
      <c r="R54" s="368">
        <v>2.65</v>
      </c>
      <c r="S54" s="367"/>
      <c r="T54" s="367"/>
      <c r="U54" s="367">
        <v>2.5</v>
      </c>
      <c r="V54" s="367">
        <v>2.5</v>
      </c>
      <c r="W54" s="367"/>
      <c r="X54" s="367"/>
      <c r="Y54" s="209"/>
      <c r="Z54" s="367">
        <v>2.5</v>
      </c>
      <c r="AA54" s="367">
        <v>2.5</v>
      </c>
      <c r="AB54" s="367">
        <v>2</v>
      </c>
      <c r="AC54" s="367"/>
      <c r="AD54" s="367">
        <v>1.98</v>
      </c>
      <c r="AE54" s="367">
        <v>1.02</v>
      </c>
      <c r="AF54" s="209"/>
      <c r="AG54" s="367"/>
      <c r="AH54" s="367"/>
      <c r="AI54" s="211"/>
      <c r="AJ54" s="323"/>
      <c r="AK54" s="212"/>
      <c r="AL54" s="212"/>
      <c r="AM54" s="212"/>
      <c r="AN54" s="212"/>
      <c r="AO54" s="174"/>
      <c r="AP54" s="174"/>
      <c r="AQ54" s="174"/>
      <c r="AR54" s="5"/>
      <c r="AS54" s="5"/>
      <c r="AT54" s="363"/>
    </row>
    <row r="55" spans="1:46" ht="19.5" customHeight="1" x14ac:dyDescent="0.25">
      <c r="A55" s="168">
        <f t="shared" si="52"/>
        <v>23</v>
      </c>
      <c r="B55" s="172" t="s">
        <v>183</v>
      </c>
      <c r="C55" s="300" t="s">
        <v>106</v>
      </c>
      <c r="D55" s="169" t="s">
        <v>54</v>
      </c>
      <c r="E55" s="205">
        <v>8</v>
      </c>
      <c r="F55" s="205">
        <v>8</v>
      </c>
      <c r="G55" s="322" t="s">
        <v>340</v>
      </c>
      <c r="H55" s="322" t="s">
        <v>340</v>
      </c>
      <c r="I55" s="322" t="s">
        <v>340</v>
      </c>
      <c r="J55" s="365">
        <v>8</v>
      </c>
      <c r="K55" s="204"/>
      <c r="L55" s="365">
        <v>8</v>
      </c>
      <c r="M55" s="365">
        <v>8</v>
      </c>
      <c r="N55" s="365">
        <v>8</v>
      </c>
      <c r="O55" s="365">
        <v>8</v>
      </c>
      <c r="P55" s="365">
        <v>8</v>
      </c>
      <c r="Q55" s="365">
        <v>8</v>
      </c>
      <c r="R55" s="369"/>
      <c r="S55" s="365">
        <v>8</v>
      </c>
      <c r="T55" s="365">
        <v>8</v>
      </c>
      <c r="U55" s="365">
        <v>8</v>
      </c>
      <c r="V55" s="365">
        <v>8</v>
      </c>
      <c r="W55" s="365">
        <v>8</v>
      </c>
      <c r="X55" s="365">
        <v>8</v>
      </c>
      <c r="Y55" s="204"/>
      <c r="Z55" s="365">
        <v>8</v>
      </c>
      <c r="AA55" s="365">
        <v>8</v>
      </c>
      <c r="AB55" s="365">
        <v>8</v>
      </c>
      <c r="AC55" s="365">
        <v>8</v>
      </c>
      <c r="AD55" s="365">
        <v>8</v>
      </c>
      <c r="AE55" s="365">
        <v>8</v>
      </c>
      <c r="AF55" s="216"/>
      <c r="AG55" s="365">
        <v>8</v>
      </c>
      <c r="AH55" s="365">
        <v>8</v>
      </c>
      <c r="AI55" s="206"/>
      <c r="AJ55" s="183">
        <f>ROUND(SUM(E55:AI55)/8,1)</f>
        <v>23</v>
      </c>
      <c r="AK55" s="207">
        <f>SUM(E56:AJ56)</f>
        <v>36.620000000000005</v>
      </c>
      <c r="AL55" s="207"/>
      <c r="AM55" s="207">
        <f t="shared" ref="AM55" si="71">COUNTIF(E55:AI55,"L")</f>
        <v>0</v>
      </c>
      <c r="AN55" s="207">
        <f t="shared" ref="AN55" si="72">COUNTIF(E55:AI55,"P")</f>
        <v>3</v>
      </c>
      <c r="AO55" s="183">
        <f>VLOOKUP(C55,[1]BCC!$C$6:$DJ$75,10,0)</f>
        <v>5</v>
      </c>
      <c r="AP55" s="183">
        <f>AO55-AN55</f>
        <v>2</v>
      </c>
      <c r="AQ55" s="183"/>
      <c r="AR55" s="5"/>
      <c r="AS55" s="5"/>
      <c r="AT55" s="363"/>
    </row>
    <row r="56" spans="1:46" ht="19.5" customHeight="1" x14ac:dyDescent="0.25">
      <c r="A56" s="170"/>
      <c r="B56" s="173"/>
      <c r="C56" s="301"/>
      <c r="D56" s="171"/>
      <c r="E56" s="208"/>
      <c r="F56" s="209"/>
      <c r="G56" s="209"/>
      <c r="H56" s="213"/>
      <c r="I56" s="209"/>
      <c r="J56" s="367">
        <v>2.8</v>
      </c>
      <c r="K56" s="209"/>
      <c r="L56" s="367">
        <v>1.35</v>
      </c>
      <c r="M56" s="367"/>
      <c r="N56" s="367">
        <v>3.47</v>
      </c>
      <c r="O56" s="367">
        <v>3.47</v>
      </c>
      <c r="P56" s="367">
        <v>2.73</v>
      </c>
      <c r="Q56" s="367"/>
      <c r="R56" s="368"/>
      <c r="S56" s="367"/>
      <c r="T56" s="367"/>
      <c r="U56" s="367">
        <v>1.98</v>
      </c>
      <c r="V56" s="367">
        <v>3.47</v>
      </c>
      <c r="W56" s="367">
        <v>3.47</v>
      </c>
      <c r="X56" s="367"/>
      <c r="Y56" s="209"/>
      <c r="Z56" s="367"/>
      <c r="AA56" s="367"/>
      <c r="AB56" s="367">
        <v>3</v>
      </c>
      <c r="AC56" s="367">
        <v>2.88</v>
      </c>
      <c r="AD56" s="367">
        <v>4</v>
      </c>
      <c r="AE56" s="367">
        <v>4</v>
      </c>
      <c r="AF56" s="209"/>
      <c r="AG56" s="367"/>
      <c r="AH56" s="367"/>
      <c r="AI56" s="211"/>
      <c r="AJ56" s="323"/>
      <c r="AK56" s="212"/>
      <c r="AL56" s="212"/>
      <c r="AM56" s="212"/>
      <c r="AN56" s="212"/>
      <c r="AO56" s="174"/>
      <c r="AP56" s="174"/>
      <c r="AQ56" s="174"/>
      <c r="AR56" s="5"/>
      <c r="AS56" s="5"/>
      <c r="AT56" s="363"/>
    </row>
    <row r="57" spans="1:46" ht="19.5" customHeight="1" x14ac:dyDescent="0.25">
      <c r="A57" s="168">
        <f>+A55+1</f>
        <v>24</v>
      </c>
      <c r="B57" s="172" t="s">
        <v>171</v>
      </c>
      <c r="C57" s="300" t="s">
        <v>108</v>
      </c>
      <c r="D57" s="169" t="s">
        <v>51</v>
      </c>
      <c r="E57" s="205">
        <v>8</v>
      </c>
      <c r="F57" s="205">
        <v>8</v>
      </c>
      <c r="G57" s="205">
        <v>8</v>
      </c>
      <c r="H57" s="205">
        <v>8</v>
      </c>
      <c r="I57" s="205">
        <v>8</v>
      </c>
      <c r="J57" s="205">
        <v>8</v>
      </c>
      <c r="K57" s="204"/>
      <c r="L57" s="365">
        <v>8</v>
      </c>
      <c r="M57" s="365">
        <v>8</v>
      </c>
      <c r="N57" s="365">
        <v>8</v>
      </c>
      <c r="O57" s="365">
        <v>8</v>
      </c>
      <c r="P57" s="365">
        <v>8</v>
      </c>
      <c r="Q57" s="365">
        <v>8</v>
      </c>
      <c r="R57" s="369"/>
      <c r="S57" s="365">
        <v>8</v>
      </c>
      <c r="T57" s="365">
        <v>8</v>
      </c>
      <c r="U57" s="365">
        <v>8</v>
      </c>
      <c r="V57" s="365">
        <v>8</v>
      </c>
      <c r="W57" s="365">
        <v>8</v>
      </c>
      <c r="X57" s="365">
        <v>8</v>
      </c>
      <c r="Y57" s="204"/>
      <c r="Z57" s="365">
        <v>8</v>
      </c>
      <c r="AA57" s="365">
        <v>8</v>
      </c>
      <c r="AB57" s="365">
        <v>8</v>
      </c>
      <c r="AC57" s="365">
        <v>8</v>
      </c>
      <c r="AD57" s="365">
        <v>8</v>
      </c>
      <c r="AE57" s="365">
        <v>8</v>
      </c>
      <c r="AF57" s="216"/>
      <c r="AG57" s="365">
        <v>8</v>
      </c>
      <c r="AH57" s="365">
        <v>8</v>
      </c>
      <c r="AI57" s="206"/>
      <c r="AJ57" s="183">
        <f>ROUND(SUM(E57:AI57)/8,1)</f>
        <v>26</v>
      </c>
      <c r="AK57" s="207">
        <f>SUM(E58:AJ58)</f>
        <v>16.739999999999998</v>
      </c>
      <c r="AL57" s="207"/>
      <c r="AM57" s="207">
        <f t="shared" ref="AM57" si="73">COUNTIF(E57:AI57,"L")</f>
        <v>0</v>
      </c>
      <c r="AN57" s="207">
        <f t="shared" ref="AN57" si="74">COUNTIF(E57:AI57,"P")</f>
        <v>0</v>
      </c>
      <c r="AO57" s="183">
        <f>VLOOKUP(C57,[1]BCC!$C$6:$DJ$75,10,0)</f>
        <v>6</v>
      </c>
      <c r="AP57" s="183">
        <f>AO57-AN57</f>
        <v>6</v>
      </c>
      <c r="AQ57" s="183"/>
      <c r="AR57" s="5"/>
      <c r="AS57" s="5"/>
      <c r="AT57" s="363"/>
    </row>
    <row r="58" spans="1:46" ht="19.5" customHeight="1" x14ac:dyDescent="0.25">
      <c r="A58" s="170"/>
      <c r="B58" s="173"/>
      <c r="C58" s="301"/>
      <c r="D58" s="171"/>
      <c r="E58" s="208"/>
      <c r="F58" s="209"/>
      <c r="G58" s="209"/>
      <c r="H58" s="210"/>
      <c r="I58" s="209"/>
      <c r="J58" s="209"/>
      <c r="K58" s="209">
        <v>7.62</v>
      </c>
      <c r="L58" s="367"/>
      <c r="M58" s="367"/>
      <c r="N58" s="367">
        <v>3.02</v>
      </c>
      <c r="O58" s="367">
        <v>0.85</v>
      </c>
      <c r="P58" s="367">
        <v>3.1</v>
      </c>
      <c r="Q58" s="367"/>
      <c r="R58" s="368"/>
      <c r="S58" s="367"/>
      <c r="T58" s="367"/>
      <c r="U58" s="367"/>
      <c r="V58" s="367"/>
      <c r="W58" s="367"/>
      <c r="X58" s="367"/>
      <c r="Y58" s="209"/>
      <c r="Z58" s="367">
        <v>1.57</v>
      </c>
      <c r="AA58" s="367"/>
      <c r="AB58" s="367"/>
      <c r="AC58" s="367">
        <v>0.57999999999999996</v>
      </c>
      <c r="AD58" s="367"/>
      <c r="AE58" s="367"/>
      <c r="AF58" s="209"/>
      <c r="AG58" s="367"/>
      <c r="AH58" s="367"/>
      <c r="AI58" s="211"/>
      <c r="AJ58" s="323"/>
      <c r="AK58" s="212"/>
      <c r="AL58" s="212"/>
      <c r="AM58" s="212"/>
      <c r="AN58" s="212"/>
      <c r="AO58" s="174"/>
      <c r="AP58" s="174"/>
      <c r="AQ58" s="174"/>
      <c r="AR58" s="5"/>
      <c r="AS58" s="5"/>
      <c r="AT58" s="363"/>
    </row>
    <row r="59" spans="1:46" ht="19.5" customHeight="1" x14ac:dyDescent="0.25">
      <c r="A59" s="168">
        <f>+A57+1</f>
        <v>25</v>
      </c>
      <c r="B59" s="172" t="s">
        <v>43</v>
      </c>
      <c r="C59" s="300" t="s">
        <v>44</v>
      </c>
      <c r="D59" s="169" t="s">
        <v>56</v>
      </c>
      <c r="E59" s="205">
        <v>8</v>
      </c>
      <c r="F59" s="205">
        <v>8</v>
      </c>
      <c r="G59" s="205">
        <v>8</v>
      </c>
      <c r="H59" s="205">
        <v>8</v>
      </c>
      <c r="I59" s="205">
        <v>8</v>
      </c>
      <c r="J59" s="205">
        <v>8</v>
      </c>
      <c r="K59" s="204"/>
      <c r="L59" s="365">
        <v>8</v>
      </c>
      <c r="M59" s="365">
        <v>8</v>
      </c>
      <c r="N59" s="365">
        <v>8</v>
      </c>
      <c r="O59" s="365">
        <v>8</v>
      </c>
      <c r="P59" s="365">
        <v>8</v>
      </c>
      <c r="Q59" s="365">
        <v>8</v>
      </c>
      <c r="R59" s="369"/>
      <c r="S59" s="365">
        <v>8</v>
      </c>
      <c r="T59" s="365">
        <v>8</v>
      </c>
      <c r="U59" s="365">
        <v>8</v>
      </c>
      <c r="V59" s="365">
        <v>8</v>
      </c>
      <c r="W59" s="365">
        <v>8</v>
      </c>
      <c r="X59" s="365"/>
      <c r="Y59" s="204"/>
      <c r="Z59" s="365"/>
      <c r="AA59" s="365"/>
      <c r="AB59" s="365"/>
      <c r="AC59" s="365"/>
      <c r="AD59" s="365"/>
      <c r="AE59" s="365"/>
      <c r="AF59" s="216"/>
      <c r="AG59" s="365"/>
      <c r="AH59" s="365"/>
      <c r="AI59" s="206"/>
      <c r="AJ59" s="183">
        <f>ROUND(SUM(E59:AI59)/8,1)</f>
        <v>17</v>
      </c>
      <c r="AK59" s="207">
        <f>SUM(E60:AJ60)</f>
        <v>0</v>
      </c>
      <c r="AL59" s="207"/>
      <c r="AM59" s="207">
        <f>COUNTIF(E59:AI59,"L")</f>
        <v>0</v>
      </c>
      <c r="AN59" s="207">
        <f>COUNTIF(E59:AI59,"P")</f>
        <v>0</v>
      </c>
      <c r="AO59" s="183">
        <f>VLOOKUP(C59,[1]BCC!$C$6:$DJ$75,10,0)</f>
        <v>3</v>
      </c>
      <c r="AP59" s="183">
        <f>AO59-AN59</f>
        <v>3</v>
      </c>
      <c r="AQ59" s="183"/>
      <c r="AR59" s="5"/>
      <c r="AS59" s="5"/>
      <c r="AT59" s="363"/>
    </row>
    <row r="60" spans="1:46" ht="19.5" customHeight="1" x14ac:dyDescent="0.25">
      <c r="A60" s="170"/>
      <c r="B60" s="173"/>
      <c r="C60" s="301"/>
      <c r="D60" s="171"/>
      <c r="E60" s="208"/>
      <c r="F60" s="209"/>
      <c r="G60" s="209"/>
      <c r="H60" s="210"/>
      <c r="I60" s="209"/>
      <c r="J60" s="209"/>
      <c r="K60" s="209"/>
      <c r="L60" s="367"/>
      <c r="M60" s="367"/>
      <c r="N60" s="367"/>
      <c r="O60" s="367"/>
      <c r="P60" s="367"/>
      <c r="Q60" s="367"/>
      <c r="R60" s="368"/>
      <c r="S60" s="367"/>
      <c r="T60" s="367"/>
      <c r="U60" s="367"/>
      <c r="V60" s="367"/>
      <c r="W60" s="367"/>
      <c r="X60" s="367"/>
      <c r="Y60" s="209"/>
      <c r="Z60" s="367"/>
      <c r="AA60" s="367"/>
      <c r="AB60" s="367"/>
      <c r="AC60" s="367"/>
      <c r="AD60" s="367"/>
      <c r="AE60" s="367"/>
      <c r="AF60" s="209"/>
      <c r="AG60" s="367"/>
      <c r="AH60" s="367"/>
      <c r="AI60" s="211"/>
      <c r="AJ60" s="323"/>
      <c r="AK60" s="212"/>
      <c r="AL60" s="212"/>
      <c r="AM60" s="212"/>
      <c r="AN60" s="212"/>
      <c r="AO60" s="174"/>
      <c r="AP60" s="174"/>
      <c r="AQ60" s="174"/>
      <c r="AR60" s="5"/>
      <c r="AS60" s="5"/>
      <c r="AT60" s="363"/>
    </row>
    <row r="61" spans="1:46" ht="19.5" customHeight="1" x14ac:dyDescent="0.25">
      <c r="A61" s="168">
        <f>+A59+1</f>
        <v>26</v>
      </c>
      <c r="B61" s="172" t="s">
        <v>218</v>
      </c>
      <c r="C61" s="302" t="s">
        <v>226</v>
      </c>
      <c r="D61" s="169" t="s">
        <v>54</v>
      </c>
      <c r="E61" s="205">
        <v>8</v>
      </c>
      <c r="F61" s="205">
        <v>8</v>
      </c>
      <c r="G61" s="205">
        <v>8</v>
      </c>
      <c r="H61" s="205">
        <v>8</v>
      </c>
      <c r="I61" s="322" t="s">
        <v>340</v>
      </c>
      <c r="J61" s="322" t="s">
        <v>340</v>
      </c>
      <c r="K61" s="204">
        <v>8</v>
      </c>
      <c r="L61" s="365">
        <v>8</v>
      </c>
      <c r="M61" s="365">
        <v>8</v>
      </c>
      <c r="N61" s="365"/>
      <c r="O61" s="365">
        <v>8</v>
      </c>
      <c r="P61" s="365">
        <v>8</v>
      </c>
      <c r="Q61" s="365">
        <v>8</v>
      </c>
      <c r="R61" s="204">
        <v>8</v>
      </c>
      <c r="S61" s="365">
        <v>8</v>
      </c>
      <c r="T61" s="365">
        <v>8</v>
      </c>
      <c r="U61" s="365">
        <v>8</v>
      </c>
      <c r="V61" s="365">
        <v>8</v>
      </c>
      <c r="W61" s="365">
        <v>8</v>
      </c>
      <c r="X61" s="365">
        <v>8</v>
      </c>
      <c r="Y61" s="204">
        <v>8</v>
      </c>
      <c r="Z61" s="365">
        <v>8</v>
      </c>
      <c r="AA61" s="365">
        <v>8</v>
      </c>
      <c r="AB61" s="365">
        <v>8</v>
      </c>
      <c r="AC61" s="365"/>
      <c r="AD61" s="365">
        <v>8</v>
      </c>
      <c r="AE61" s="365">
        <v>8</v>
      </c>
      <c r="AF61" s="216">
        <v>8</v>
      </c>
      <c r="AG61" s="365">
        <v>8</v>
      </c>
      <c r="AH61" s="365">
        <v>8</v>
      </c>
      <c r="AI61" s="206"/>
      <c r="AJ61" s="183">
        <f>ROUND(SUM(E61:AI61)/8,1)</f>
        <v>26</v>
      </c>
      <c r="AK61" s="207">
        <f>SUM(E62:AJ62)</f>
        <v>38.83</v>
      </c>
      <c r="AL61" s="207"/>
      <c r="AM61" s="207">
        <f>COUNTIF(E61:AI61,"L")</f>
        <v>0</v>
      </c>
      <c r="AN61" s="207">
        <f>COUNTIF(E61:AI61,"P")</f>
        <v>2</v>
      </c>
      <c r="AO61" s="183">
        <f>VLOOKUP(C61,[1]BCC!$C$6:$DJ$75,10,0)</f>
        <v>3</v>
      </c>
      <c r="AP61" s="183">
        <f>AO61-AN61</f>
        <v>1</v>
      </c>
      <c r="AQ61" s="183"/>
      <c r="AR61" s="5"/>
      <c r="AS61" s="5"/>
      <c r="AT61" s="363"/>
    </row>
    <row r="62" spans="1:46" ht="19.5" customHeight="1" x14ac:dyDescent="0.25">
      <c r="A62" s="170"/>
      <c r="B62" s="173"/>
      <c r="C62" s="301"/>
      <c r="D62" s="171"/>
      <c r="E62" s="208"/>
      <c r="F62" s="209"/>
      <c r="G62" s="209"/>
      <c r="H62" s="210"/>
      <c r="I62" s="209"/>
      <c r="J62" s="209"/>
      <c r="K62" s="209"/>
      <c r="L62" s="367"/>
      <c r="M62" s="367"/>
      <c r="N62" s="367">
        <v>8</v>
      </c>
      <c r="O62" s="367"/>
      <c r="P62" s="367"/>
      <c r="Q62" s="367">
        <v>2</v>
      </c>
      <c r="R62" s="368">
        <v>3.1</v>
      </c>
      <c r="S62" s="367"/>
      <c r="T62" s="367"/>
      <c r="U62" s="367"/>
      <c r="V62" s="367"/>
      <c r="W62" s="367"/>
      <c r="X62" s="367"/>
      <c r="Y62" s="209">
        <v>0.5</v>
      </c>
      <c r="Z62" s="367"/>
      <c r="AA62" s="367"/>
      <c r="AB62" s="367"/>
      <c r="AC62" s="367">
        <v>8</v>
      </c>
      <c r="AD62" s="367">
        <v>3.5</v>
      </c>
      <c r="AE62" s="367">
        <v>3.28</v>
      </c>
      <c r="AF62" s="368">
        <v>2.4500000000000002</v>
      </c>
      <c r="AG62" s="367">
        <v>4</v>
      </c>
      <c r="AH62" s="367">
        <v>4</v>
      </c>
      <c r="AI62" s="211"/>
      <c r="AJ62" s="323"/>
      <c r="AK62" s="214"/>
      <c r="AL62" s="214"/>
      <c r="AM62" s="214"/>
      <c r="AN62" s="214"/>
      <c r="AO62" s="193"/>
      <c r="AP62" s="193"/>
      <c r="AQ62" s="193"/>
      <c r="AR62" s="5"/>
      <c r="AS62" s="5"/>
      <c r="AT62" s="363"/>
    </row>
    <row r="63" spans="1:46" ht="19.5" customHeight="1" x14ac:dyDescent="0.25">
      <c r="A63" s="168">
        <f>+A61+1</f>
        <v>27</v>
      </c>
      <c r="B63" s="172" t="s">
        <v>221</v>
      </c>
      <c r="C63" s="300" t="s">
        <v>228</v>
      </c>
      <c r="D63" s="169" t="s">
        <v>54</v>
      </c>
      <c r="E63" s="322" t="s">
        <v>340</v>
      </c>
      <c r="F63" s="205">
        <v>8</v>
      </c>
      <c r="G63" s="205">
        <v>8</v>
      </c>
      <c r="H63" s="205">
        <v>8</v>
      </c>
      <c r="I63" s="365">
        <v>8</v>
      </c>
      <c r="J63" s="365">
        <v>8</v>
      </c>
      <c r="K63" s="204"/>
      <c r="L63" s="365">
        <v>8</v>
      </c>
      <c r="M63" s="365">
        <v>8</v>
      </c>
      <c r="N63" s="365">
        <v>8</v>
      </c>
      <c r="O63" s="365">
        <v>8</v>
      </c>
      <c r="P63" s="365">
        <v>8</v>
      </c>
      <c r="Q63" s="365">
        <v>8</v>
      </c>
      <c r="R63" s="369"/>
      <c r="S63" s="365">
        <v>8</v>
      </c>
      <c r="T63" s="365">
        <v>8</v>
      </c>
      <c r="U63" s="365">
        <v>8</v>
      </c>
      <c r="V63" s="365">
        <v>8</v>
      </c>
      <c r="W63" s="365">
        <v>8</v>
      </c>
      <c r="X63" s="365">
        <v>8</v>
      </c>
      <c r="Y63" s="204"/>
      <c r="Z63" s="365">
        <v>8</v>
      </c>
      <c r="AA63" s="365">
        <v>8</v>
      </c>
      <c r="AB63" s="365">
        <v>8</v>
      </c>
      <c r="AC63" s="365">
        <v>8</v>
      </c>
      <c r="AD63" s="365">
        <v>8</v>
      </c>
      <c r="AE63" s="365">
        <v>8</v>
      </c>
      <c r="AF63" s="216"/>
      <c r="AG63" s="365">
        <v>8</v>
      </c>
      <c r="AH63" s="365">
        <v>8</v>
      </c>
      <c r="AI63" s="206"/>
      <c r="AJ63" s="183">
        <f>ROUND(SUM(E63:AI63)/8,1)</f>
        <v>25</v>
      </c>
      <c r="AK63" s="207">
        <f>SUM(E64:AJ64)</f>
        <v>21.33</v>
      </c>
      <c r="AL63" s="207"/>
      <c r="AM63" s="207">
        <f>COUNTIF(E63:AI63,"L")</f>
        <v>0</v>
      </c>
      <c r="AN63" s="207">
        <f>COUNTIF(E63:AI63,"P")</f>
        <v>1</v>
      </c>
      <c r="AO63" s="183">
        <f>VLOOKUP(C63,[1]BCC!$C$6:$DJ$75,10,0)</f>
        <v>3</v>
      </c>
      <c r="AP63" s="183">
        <f>AO63-AN63</f>
        <v>2</v>
      </c>
      <c r="AQ63" s="183"/>
      <c r="AR63" s="5"/>
      <c r="AS63" s="5"/>
      <c r="AT63" s="363"/>
    </row>
    <row r="64" spans="1:46" ht="19.5" customHeight="1" x14ac:dyDescent="0.25">
      <c r="A64" s="170"/>
      <c r="B64" s="173"/>
      <c r="C64" s="301"/>
      <c r="D64" s="171"/>
      <c r="E64" s="208"/>
      <c r="F64" s="209"/>
      <c r="G64" s="209"/>
      <c r="H64" s="213"/>
      <c r="I64" s="367">
        <v>1</v>
      </c>
      <c r="J64" s="367"/>
      <c r="K64" s="209"/>
      <c r="L64" s="367"/>
      <c r="M64" s="367"/>
      <c r="N64" s="367"/>
      <c r="O64" s="367"/>
      <c r="P64" s="367"/>
      <c r="Q64" s="367"/>
      <c r="R64" s="368"/>
      <c r="S64" s="367"/>
      <c r="T64" s="367">
        <v>1</v>
      </c>
      <c r="U64" s="367">
        <v>1</v>
      </c>
      <c r="V64" s="367"/>
      <c r="W64" s="367">
        <v>4</v>
      </c>
      <c r="X64" s="367">
        <v>3</v>
      </c>
      <c r="Y64" s="209"/>
      <c r="Z64" s="367">
        <v>1.08</v>
      </c>
      <c r="AA64" s="367">
        <v>2</v>
      </c>
      <c r="AB64" s="367"/>
      <c r="AC64" s="367">
        <v>1.25</v>
      </c>
      <c r="AD64" s="367">
        <v>3</v>
      </c>
      <c r="AE64" s="367">
        <v>4</v>
      </c>
      <c r="AF64" s="209"/>
      <c r="AG64" s="367"/>
      <c r="AH64" s="367"/>
      <c r="AI64" s="211"/>
      <c r="AJ64" s="323"/>
      <c r="AK64" s="212"/>
      <c r="AL64" s="212"/>
      <c r="AM64" s="212"/>
      <c r="AN64" s="212"/>
      <c r="AO64" s="174"/>
      <c r="AP64" s="174"/>
      <c r="AQ64" s="174"/>
      <c r="AR64" s="5"/>
      <c r="AS64" s="5"/>
      <c r="AT64" s="363"/>
    </row>
    <row r="65" spans="1:46" ht="19.5" customHeight="1" x14ac:dyDescent="0.25">
      <c r="A65" s="168">
        <f>+A63+1</f>
        <v>28</v>
      </c>
      <c r="B65" s="172" t="s">
        <v>222</v>
      </c>
      <c r="C65" s="300" t="s">
        <v>229</v>
      </c>
      <c r="D65" s="169" t="s">
        <v>54</v>
      </c>
      <c r="E65" s="365">
        <v>8</v>
      </c>
      <c r="F65" s="364" t="s">
        <v>340</v>
      </c>
      <c r="G65" s="365">
        <v>8</v>
      </c>
      <c r="H65" s="364" t="s">
        <v>340</v>
      </c>
      <c r="I65" s="365">
        <v>8</v>
      </c>
      <c r="J65" s="365">
        <v>8</v>
      </c>
      <c r="K65" s="204"/>
      <c r="L65" s="365">
        <v>8</v>
      </c>
      <c r="M65" s="365">
        <v>8</v>
      </c>
      <c r="N65" s="365">
        <v>8</v>
      </c>
      <c r="O65" s="365">
        <v>8</v>
      </c>
      <c r="P65" s="365">
        <v>8</v>
      </c>
      <c r="Q65" s="365">
        <v>8</v>
      </c>
      <c r="R65" s="369"/>
      <c r="S65" s="365">
        <v>8</v>
      </c>
      <c r="T65" s="365">
        <v>8</v>
      </c>
      <c r="U65" s="365">
        <v>8</v>
      </c>
      <c r="V65" s="365">
        <v>8</v>
      </c>
      <c r="W65" s="365">
        <v>8</v>
      </c>
      <c r="X65" s="365">
        <v>8</v>
      </c>
      <c r="Y65" s="204"/>
      <c r="Z65" s="365">
        <v>8</v>
      </c>
      <c r="AA65" s="365">
        <v>8</v>
      </c>
      <c r="AB65" s="365">
        <v>8</v>
      </c>
      <c r="AC65" s="365">
        <v>8</v>
      </c>
      <c r="AD65" s="365">
        <v>8</v>
      </c>
      <c r="AE65" s="365">
        <v>8</v>
      </c>
      <c r="AF65" s="216"/>
      <c r="AG65" s="365">
        <v>8</v>
      </c>
      <c r="AH65" s="365">
        <v>8</v>
      </c>
      <c r="AI65" s="206"/>
      <c r="AJ65" s="183">
        <f>ROUND(SUM(E65:AI65)/8,1)</f>
        <v>24</v>
      </c>
      <c r="AK65" s="207">
        <f>SUM(E66:AJ66)</f>
        <v>38.599999999999994</v>
      </c>
      <c r="AL65" s="207"/>
      <c r="AM65" s="207">
        <f>COUNTIF(E65:AI65,"L")</f>
        <v>0</v>
      </c>
      <c r="AN65" s="207">
        <f>COUNTIF(E65:AI65,"P")</f>
        <v>2</v>
      </c>
      <c r="AO65" s="183">
        <f>VLOOKUP(C65,[1]BCC!$C$6:$DJ$75,10,0)</f>
        <v>3</v>
      </c>
      <c r="AP65" s="183">
        <f>AO65-AN65</f>
        <v>1</v>
      </c>
      <c r="AQ65" s="183"/>
      <c r="AR65" s="5"/>
      <c r="AS65" s="5"/>
      <c r="AT65" s="363"/>
    </row>
    <row r="66" spans="1:46" ht="19.5" customHeight="1" x14ac:dyDescent="0.25">
      <c r="A66" s="170"/>
      <c r="B66" s="173"/>
      <c r="C66" s="301"/>
      <c r="D66" s="171"/>
      <c r="E66" s="367">
        <v>2.0499999999999998</v>
      </c>
      <c r="F66" s="367"/>
      <c r="G66" s="367">
        <v>2.0699999999999998</v>
      </c>
      <c r="H66" s="367"/>
      <c r="I66" s="367"/>
      <c r="J66" s="367"/>
      <c r="K66" s="209"/>
      <c r="L66" s="367">
        <v>2.1</v>
      </c>
      <c r="M66" s="367">
        <v>2.08</v>
      </c>
      <c r="N66" s="367">
        <v>2.12</v>
      </c>
      <c r="O66" s="367">
        <v>2.02</v>
      </c>
      <c r="P66" s="367">
        <v>2.17</v>
      </c>
      <c r="Q66" s="367">
        <v>2.12</v>
      </c>
      <c r="R66" s="368"/>
      <c r="S66" s="367">
        <v>2.2799999999999998</v>
      </c>
      <c r="T66" s="367">
        <v>2.65</v>
      </c>
      <c r="U66" s="367">
        <v>1.1000000000000001</v>
      </c>
      <c r="V66" s="367">
        <v>2.0699999999999998</v>
      </c>
      <c r="W66" s="367">
        <v>0.6</v>
      </c>
      <c r="X66" s="367">
        <v>1.25</v>
      </c>
      <c r="Y66" s="209"/>
      <c r="Z66" s="367"/>
      <c r="AA66" s="367">
        <v>2.5</v>
      </c>
      <c r="AB66" s="367">
        <v>2.37</v>
      </c>
      <c r="AC66" s="367">
        <v>3.28</v>
      </c>
      <c r="AD66" s="367">
        <v>1.65</v>
      </c>
      <c r="AE66" s="367"/>
      <c r="AF66" s="209"/>
      <c r="AG66" s="367"/>
      <c r="AH66" s="367">
        <v>2.12</v>
      </c>
      <c r="AI66" s="211"/>
      <c r="AJ66" s="323"/>
      <c r="AK66" s="212"/>
      <c r="AL66" s="212"/>
      <c r="AM66" s="212"/>
      <c r="AN66" s="212"/>
      <c r="AO66" s="174"/>
      <c r="AP66" s="174"/>
      <c r="AQ66" s="174"/>
      <c r="AR66" s="5"/>
      <c r="AS66" s="5"/>
      <c r="AT66" s="363"/>
    </row>
    <row r="67" spans="1:46" ht="19.5" customHeight="1" x14ac:dyDescent="0.25">
      <c r="A67" s="168">
        <f>+A65+1</f>
        <v>29</v>
      </c>
      <c r="B67" s="172" t="s">
        <v>223</v>
      </c>
      <c r="C67" s="300" t="s">
        <v>230</v>
      </c>
      <c r="D67" s="169" t="s">
        <v>54</v>
      </c>
      <c r="E67" s="365">
        <v>8</v>
      </c>
      <c r="F67" s="365">
        <v>8</v>
      </c>
      <c r="G67" s="365">
        <v>8</v>
      </c>
      <c r="H67" s="365">
        <v>8</v>
      </c>
      <c r="I67" s="365">
        <v>8</v>
      </c>
      <c r="J67" s="365">
        <v>8</v>
      </c>
      <c r="K67" s="204"/>
      <c r="L67" s="365">
        <v>8</v>
      </c>
      <c r="M67" s="365">
        <v>8</v>
      </c>
      <c r="N67" s="365">
        <v>8</v>
      </c>
      <c r="O67" s="365">
        <v>8</v>
      </c>
      <c r="P67" s="365">
        <v>8</v>
      </c>
      <c r="Q67" s="365">
        <v>8</v>
      </c>
      <c r="R67" s="369"/>
      <c r="S67" s="365">
        <v>8</v>
      </c>
      <c r="T67" s="365">
        <v>8</v>
      </c>
      <c r="U67" s="365">
        <v>8</v>
      </c>
      <c r="V67" s="365">
        <v>8</v>
      </c>
      <c r="W67" s="365">
        <v>8</v>
      </c>
      <c r="X67" s="365">
        <v>8</v>
      </c>
      <c r="Y67" s="204"/>
      <c r="Z67" s="365">
        <v>8</v>
      </c>
      <c r="AA67" s="365">
        <v>8</v>
      </c>
      <c r="AB67" s="365">
        <v>8</v>
      </c>
      <c r="AC67" s="365">
        <v>8</v>
      </c>
      <c r="AD67" s="365">
        <v>8</v>
      </c>
      <c r="AE67" s="365">
        <v>8</v>
      </c>
      <c r="AF67" s="216"/>
      <c r="AG67" s="365">
        <v>8</v>
      </c>
      <c r="AH67" s="365">
        <v>8</v>
      </c>
      <c r="AI67" s="206"/>
      <c r="AJ67" s="183">
        <f>ROUND(SUM(E67:AI67)/8,1)</f>
        <v>26</v>
      </c>
      <c r="AK67" s="207">
        <f>SUM(E68:AJ68)</f>
        <v>15.38</v>
      </c>
      <c r="AL67" s="207"/>
      <c r="AM67" s="207">
        <f>COUNTIF(E67:AI67,"L")</f>
        <v>0</v>
      </c>
      <c r="AN67" s="207">
        <f>COUNTIF(E67:AI67,"P")</f>
        <v>0</v>
      </c>
      <c r="AO67" s="183">
        <f>VLOOKUP(C67,[1]BCC!$C$6:$DJ$75,10,0)</f>
        <v>3</v>
      </c>
      <c r="AP67" s="183">
        <f>AO67-AN67</f>
        <v>3</v>
      </c>
      <c r="AQ67" s="183"/>
      <c r="AR67" s="5"/>
      <c r="AS67" s="5"/>
      <c r="AT67" s="363"/>
    </row>
    <row r="68" spans="1:46" ht="19.5" customHeight="1" x14ac:dyDescent="0.25">
      <c r="A68" s="170"/>
      <c r="B68" s="173"/>
      <c r="C68" s="301"/>
      <c r="D68" s="171"/>
      <c r="E68" s="367"/>
      <c r="F68" s="367"/>
      <c r="G68" s="367"/>
      <c r="H68" s="367"/>
      <c r="I68" s="367"/>
      <c r="J68" s="367"/>
      <c r="K68" s="209"/>
      <c r="L68" s="367"/>
      <c r="M68" s="367"/>
      <c r="N68" s="367"/>
      <c r="O68" s="367"/>
      <c r="P68" s="367"/>
      <c r="Q68" s="367">
        <v>2.33</v>
      </c>
      <c r="R68" s="368"/>
      <c r="S68" s="367"/>
      <c r="T68" s="367"/>
      <c r="U68" s="367"/>
      <c r="V68" s="367"/>
      <c r="W68" s="367">
        <v>3.02</v>
      </c>
      <c r="X68" s="367">
        <v>3.45</v>
      </c>
      <c r="Y68" s="209"/>
      <c r="Z68" s="367"/>
      <c r="AA68" s="367"/>
      <c r="AB68" s="367">
        <v>3.42</v>
      </c>
      <c r="AC68" s="367">
        <v>3.16</v>
      </c>
      <c r="AD68" s="367"/>
      <c r="AE68" s="367"/>
      <c r="AF68" s="209"/>
      <c r="AG68" s="367"/>
      <c r="AH68" s="367"/>
      <c r="AI68" s="211"/>
      <c r="AJ68" s="323"/>
      <c r="AK68" s="212"/>
      <c r="AL68" s="212"/>
      <c r="AM68" s="212"/>
      <c r="AN68" s="212"/>
      <c r="AO68" s="174"/>
      <c r="AP68" s="174"/>
      <c r="AQ68" s="174"/>
      <c r="AR68" s="5"/>
      <c r="AS68" s="5"/>
      <c r="AT68" s="363"/>
    </row>
    <row r="69" spans="1:46" ht="19.5" customHeight="1" x14ac:dyDescent="0.25">
      <c r="A69" s="168">
        <f>+A67+1</f>
        <v>30</v>
      </c>
      <c r="B69" s="172" t="s">
        <v>224</v>
      </c>
      <c r="C69" s="300" t="s">
        <v>231</v>
      </c>
      <c r="D69" s="169" t="s">
        <v>54</v>
      </c>
      <c r="E69" s="365">
        <v>4</v>
      </c>
      <c r="F69" s="365">
        <v>8</v>
      </c>
      <c r="G69" s="365">
        <v>8</v>
      </c>
      <c r="H69" s="365">
        <v>8</v>
      </c>
      <c r="I69" s="365">
        <v>8</v>
      </c>
      <c r="J69" s="365">
        <v>8</v>
      </c>
      <c r="K69" s="204"/>
      <c r="L69" s="365">
        <v>8</v>
      </c>
      <c r="M69" s="365" t="s">
        <v>341</v>
      </c>
      <c r="N69" s="365">
        <v>8</v>
      </c>
      <c r="O69" s="365">
        <v>8</v>
      </c>
      <c r="P69" s="365">
        <v>8</v>
      </c>
      <c r="Q69" s="365">
        <v>8</v>
      </c>
      <c r="R69" s="369"/>
      <c r="S69" s="365">
        <v>8</v>
      </c>
      <c r="T69" s="365">
        <v>8</v>
      </c>
      <c r="U69" s="365" t="s">
        <v>341</v>
      </c>
      <c r="V69" s="365">
        <v>8</v>
      </c>
      <c r="W69" s="365" t="s">
        <v>341</v>
      </c>
      <c r="X69" s="365" t="s">
        <v>341</v>
      </c>
      <c r="Y69" s="204"/>
      <c r="Z69" s="365">
        <v>8</v>
      </c>
      <c r="AA69" s="365">
        <v>8</v>
      </c>
      <c r="AB69" s="365">
        <v>8</v>
      </c>
      <c r="AC69" s="365">
        <v>8</v>
      </c>
      <c r="AD69" s="365">
        <v>8</v>
      </c>
      <c r="AE69" s="365">
        <v>8</v>
      </c>
      <c r="AF69" s="216"/>
      <c r="AG69" s="205">
        <v>8</v>
      </c>
      <c r="AH69" s="205">
        <v>8</v>
      </c>
      <c r="AI69" s="206"/>
      <c r="AJ69" s="183">
        <f>ROUND(SUM(E69:AI69)/8,1)</f>
        <v>21.5</v>
      </c>
      <c r="AK69" s="207">
        <f>SUM(E70:AJ70)</f>
        <v>11.655000000000001</v>
      </c>
      <c r="AL69" s="207"/>
      <c r="AM69" s="207">
        <f>COUNTIF(E69:AI69,"L")</f>
        <v>0</v>
      </c>
      <c r="AN69" s="207">
        <f>COUNTIF(E69:AI69,"P")</f>
        <v>0</v>
      </c>
      <c r="AO69" s="183">
        <f>VLOOKUP(C69,[1]BCC!$C$6:$DJ$75,10,0)</f>
        <v>3</v>
      </c>
      <c r="AP69" s="183">
        <f>AO69-AN69</f>
        <v>3</v>
      </c>
      <c r="AQ69" s="183"/>
      <c r="AR69" s="5"/>
      <c r="AS69" s="5"/>
      <c r="AT69" s="363"/>
    </row>
    <row r="70" spans="1:46" ht="19.5" customHeight="1" x14ac:dyDescent="0.25">
      <c r="A70" s="170"/>
      <c r="B70" s="173"/>
      <c r="C70" s="301"/>
      <c r="D70" s="171"/>
      <c r="E70" s="367"/>
      <c r="F70" s="367"/>
      <c r="G70" s="367"/>
      <c r="H70" s="367"/>
      <c r="I70" s="367"/>
      <c r="J70" s="367"/>
      <c r="K70" s="209"/>
      <c r="L70" s="367"/>
      <c r="M70" s="367"/>
      <c r="N70" s="367"/>
      <c r="O70" s="367">
        <v>3</v>
      </c>
      <c r="P70" s="367">
        <v>3</v>
      </c>
      <c r="Q70" s="367"/>
      <c r="R70" s="368"/>
      <c r="S70" s="367"/>
      <c r="T70" s="367"/>
      <c r="U70" s="367"/>
      <c r="V70" s="367"/>
      <c r="W70" s="367"/>
      <c r="X70" s="367"/>
      <c r="Y70" s="209"/>
      <c r="Z70" s="367"/>
      <c r="AA70" s="367"/>
      <c r="AB70" s="367"/>
      <c r="AC70" s="367">
        <v>2.4</v>
      </c>
      <c r="AD70" s="367">
        <v>2</v>
      </c>
      <c r="AE70" s="367">
        <v>1.2549999999999999</v>
      </c>
      <c r="AF70" s="209"/>
      <c r="AG70" s="208"/>
      <c r="AH70" s="209"/>
      <c r="AI70" s="211"/>
      <c r="AJ70" s="323"/>
      <c r="AK70" s="212"/>
      <c r="AL70" s="212"/>
      <c r="AM70" s="212"/>
      <c r="AN70" s="212"/>
      <c r="AO70" s="174"/>
      <c r="AP70" s="174"/>
      <c r="AQ70" s="174"/>
      <c r="AR70" s="5"/>
      <c r="AS70" s="5"/>
      <c r="AT70" s="363"/>
    </row>
    <row r="71" spans="1:46" ht="19.5" customHeight="1" x14ac:dyDescent="0.25">
      <c r="A71" s="168">
        <f>+A69+1</f>
        <v>31</v>
      </c>
      <c r="B71" s="172" t="s">
        <v>225</v>
      </c>
      <c r="C71" s="300" t="s">
        <v>232</v>
      </c>
      <c r="D71" s="169" t="s">
        <v>54</v>
      </c>
      <c r="E71" s="365">
        <v>8</v>
      </c>
      <c r="F71" s="365">
        <v>8</v>
      </c>
      <c r="G71" s="365">
        <v>8</v>
      </c>
      <c r="H71" s="365">
        <v>8</v>
      </c>
      <c r="I71" s="365">
        <v>8</v>
      </c>
      <c r="J71" s="365">
        <v>8</v>
      </c>
      <c r="K71" s="204"/>
      <c r="L71" s="365">
        <v>8</v>
      </c>
      <c r="M71" s="365">
        <v>8</v>
      </c>
      <c r="N71" s="365">
        <v>8</v>
      </c>
      <c r="O71" s="365">
        <v>8</v>
      </c>
      <c r="P71" s="365">
        <v>8</v>
      </c>
      <c r="Q71" s="365">
        <v>8</v>
      </c>
      <c r="R71" s="369"/>
      <c r="S71" s="365">
        <v>8</v>
      </c>
      <c r="T71" s="365">
        <v>8</v>
      </c>
      <c r="U71" s="365">
        <v>8</v>
      </c>
      <c r="V71" s="365">
        <v>8</v>
      </c>
      <c r="W71" s="365">
        <v>8</v>
      </c>
      <c r="X71" s="365">
        <v>8</v>
      </c>
      <c r="Y71" s="204"/>
      <c r="Z71" s="365">
        <v>8</v>
      </c>
      <c r="AA71" s="365">
        <v>8</v>
      </c>
      <c r="AB71" s="365">
        <v>8</v>
      </c>
      <c r="AC71" s="365">
        <v>8</v>
      </c>
      <c r="AD71" s="365">
        <v>8</v>
      </c>
      <c r="AE71" s="365">
        <v>8</v>
      </c>
      <c r="AF71" s="216"/>
      <c r="AG71" s="205">
        <v>8</v>
      </c>
      <c r="AH71" s="205">
        <v>8</v>
      </c>
      <c r="AI71" s="206"/>
      <c r="AJ71" s="183">
        <f>ROUND(SUM(E71:AI71)/8,1)</f>
        <v>26</v>
      </c>
      <c r="AK71" s="207">
        <f>SUM(E72:AJ72)</f>
        <v>7.83</v>
      </c>
      <c r="AL71" s="207"/>
      <c r="AM71" s="207">
        <f>COUNTIF(E71:AI71,"L")</f>
        <v>0</v>
      </c>
      <c r="AN71" s="207">
        <f>COUNTIF(E71:AI71,"P")</f>
        <v>0</v>
      </c>
      <c r="AO71" s="183">
        <f>VLOOKUP(C71,[1]BCC!$C$6:$DJ$75,10,0)</f>
        <v>3</v>
      </c>
      <c r="AP71" s="183">
        <f>AO71-AN71</f>
        <v>3</v>
      </c>
      <c r="AQ71" s="183"/>
      <c r="AR71" s="5"/>
      <c r="AS71" s="5"/>
      <c r="AT71" s="363"/>
    </row>
    <row r="72" spans="1:46" ht="19.5" customHeight="1" x14ac:dyDescent="0.25">
      <c r="A72" s="170"/>
      <c r="B72" s="173"/>
      <c r="C72" s="301"/>
      <c r="D72" s="171"/>
      <c r="E72" s="367"/>
      <c r="F72" s="367"/>
      <c r="G72" s="367"/>
      <c r="H72" s="367"/>
      <c r="I72" s="367"/>
      <c r="J72" s="367"/>
      <c r="K72" s="209"/>
      <c r="L72" s="367"/>
      <c r="M72" s="367"/>
      <c r="N72" s="367"/>
      <c r="O72" s="367"/>
      <c r="P72" s="367"/>
      <c r="Q72" s="367"/>
      <c r="R72" s="368"/>
      <c r="S72" s="367"/>
      <c r="T72" s="367"/>
      <c r="U72" s="367"/>
      <c r="V72" s="367"/>
      <c r="W72" s="367"/>
      <c r="X72" s="367"/>
      <c r="Y72" s="209"/>
      <c r="Z72" s="367"/>
      <c r="AA72" s="367"/>
      <c r="AB72" s="367"/>
      <c r="AC72" s="367">
        <v>1.1000000000000001</v>
      </c>
      <c r="AD72" s="367">
        <v>3.73</v>
      </c>
      <c r="AE72" s="367">
        <v>3</v>
      </c>
      <c r="AF72" s="209"/>
      <c r="AG72" s="208"/>
      <c r="AH72" s="209"/>
      <c r="AI72" s="211"/>
      <c r="AJ72" s="323"/>
      <c r="AK72" s="212"/>
      <c r="AL72" s="212"/>
      <c r="AM72" s="212"/>
      <c r="AN72" s="212"/>
      <c r="AO72" s="174"/>
      <c r="AP72" s="174"/>
      <c r="AQ72" s="174"/>
      <c r="AR72" s="5"/>
      <c r="AS72" s="5"/>
      <c r="AT72" s="363"/>
    </row>
    <row r="73" spans="1:46" ht="19.5" customHeight="1" x14ac:dyDescent="0.25">
      <c r="A73" s="168">
        <f>+A71+1</f>
        <v>32</v>
      </c>
      <c r="B73" s="172" t="s">
        <v>219</v>
      </c>
      <c r="C73" s="300" t="s">
        <v>220</v>
      </c>
      <c r="D73" s="169" t="s">
        <v>54</v>
      </c>
      <c r="E73" s="365">
        <v>8</v>
      </c>
      <c r="F73" s="365">
        <v>8</v>
      </c>
      <c r="G73" s="365">
        <v>8</v>
      </c>
      <c r="H73" s="365">
        <v>8</v>
      </c>
      <c r="I73" s="365">
        <v>8</v>
      </c>
      <c r="J73" s="365">
        <v>8</v>
      </c>
      <c r="K73" s="204"/>
      <c r="L73" s="365">
        <v>8</v>
      </c>
      <c r="M73" s="365">
        <v>8</v>
      </c>
      <c r="N73" s="365">
        <v>8</v>
      </c>
      <c r="O73" s="365">
        <v>8</v>
      </c>
      <c r="P73" s="365">
        <v>8</v>
      </c>
      <c r="Q73" s="365">
        <v>8</v>
      </c>
      <c r="R73" s="369"/>
      <c r="S73" s="365">
        <v>8</v>
      </c>
      <c r="T73" s="365">
        <v>8</v>
      </c>
      <c r="U73" s="365">
        <v>8</v>
      </c>
      <c r="V73" s="365">
        <v>8</v>
      </c>
      <c r="W73" s="365">
        <v>8</v>
      </c>
      <c r="X73" s="365">
        <v>8</v>
      </c>
      <c r="Y73" s="204"/>
      <c r="Z73" s="365">
        <v>8</v>
      </c>
      <c r="AA73" s="365">
        <v>8</v>
      </c>
      <c r="AB73" s="365">
        <v>8</v>
      </c>
      <c r="AC73" s="365">
        <v>8</v>
      </c>
      <c r="AD73" s="365">
        <v>8</v>
      </c>
      <c r="AE73" s="365">
        <v>8</v>
      </c>
      <c r="AF73" s="216"/>
      <c r="AG73" s="205">
        <v>8</v>
      </c>
      <c r="AH73" s="205">
        <v>8</v>
      </c>
      <c r="AI73" s="206"/>
      <c r="AJ73" s="183">
        <f>ROUND(SUM(E73:AI73)/8,1)</f>
        <v>26</v>
      </c>
      <c r="AK73" s="207">
        <f>SUM(E74:AJ74)</f>
        <v>10.58</v>
      </c>
      <c r="AL73" s="207"/>
      <c r="AM73" s="207">
        <f>COUNTIF(E73:AI73,"L")</f>
        <v>0</v>
      </c>
      <c r="AN73" s="207">
        <f>COUNTIF(E73:AI73,"P")</f>
        <v>0</v>
      </c>
      <c r="AO73" s="183">
        <f>VLOOKUP(C73,[1]BCC!$C$6:$DJ$75,10,0)</f>
        <v>1</v>
      </c>
      <c r="AP73" s="183">
        <f>AO73-AN73</f>
        <v>1</v>
      </c>
      <c r="AQ73" s="183"/>
      <c r="AR73" s="5"/>
      <c r="AS73" s="5"/>
      <c r="AT73" s="363"/>
    </row>
    <row r="74" spans="1:46" ht="19.5" customHeight="1" x14ac:dyDescent="0.25">
      <c r="A74" s="189"/>
      <c r="B74" s="190"/>
      <c r="C74" s="304"/>
      <c r="D74" s="191"/>
      <c r="E74" s="367">
        <v>0.56999999999999995</v>
      </c>
      <c r="F74" s="367">
        <v>0.7</v>
      </c>
      <c r="G74" s="367">
        <v>1.1000000000000001</v>
      </c>
      <c r="H74" s="367">
        <v>0.52</v>
      </c>
      <c r="I74" s="367"/>
      <c r="J74" s="367"/>
      <c r="K74" s="209"/>
      <c r="L74" s="367">
        <v>0.6</v>
      </c>
      <c r="M74" s="367"/>
      <c r="N74" s="367"/>
      <c r="O74" s="367">
        <v>1.02</v>
      </c>
      <c r="P74" s="367">
        <v>2.0699999999999998</v>
      </c>
      <c r="Q74" s="367"/>
      <c r="R74" s="368"/>
      <c r="S74" s="367"/>
      <c r="T74" s="367"/>
      <c r="U74" s="367"/>
      <c r="V74" s="367"/>
      <c r="W74" s="367"/>
      <c r="X74" s="367"/>
      <c r="Y74" s="209"/>
      <c r="Z74" s="367"/>
      <c r="AA74" s="367"/>
      <c r="AB74" s="367"/>
      <c r="AC74" s="367"/>
      <c r="AD74" s="367">
        <v>2</v>
      </c>
      <c r="AE74" s="367">
        <v>2</v>
      </c>
      <c r="AF74" s="209"/>
      <c r="AG74" s="351"/>
      <c r="AH74" s="209"/>
      <c r="AI74" s="211"/>
      <c r="AJ74" s="323"/>
      <c r="AK74" s="215"/>
      <c r="AL74" s="215"/>
      <c r="AM74" s="215"/>
      <c r="AN74" s="215"/>
      <c r="AO74" s="192"/>
      <c r="AP74" s="192"/>
      <c r="AQ74" s="192"/>
      <c r="AR74" s="5"/>
      <c r="AS74" s="5"/>
      <c r="AT74" s="363"/>
    </row>
    <row r="75" spans="1:46" ht="19.5" customHeight="1" x14ac:dyDescent="0.25">
      <c r="A75" s="168">
        <f>+A73+1</f>
        <v>33</v>
      </c>
      <c r="B75" s="172" t="s">
        <v>238</v>
      </c>
      <c r="C75" s="300" t="s">
        <v>237</v>
      </c>
      <c r="D75" s="169" t="s">
        <v>312</v>
      </c>
      <c r="E75" s="365">
        <v>8</v>
      </c>
      <c r="F75" s="365">
        <v>8</v>
      </c>
      <c r="G75" s="365">
        <v>8</v>
      </c>
      <c r="H75" s="365">
        <v>8</v>
      </c>
      <c r="I75" s="365">
        <v>8</v>
      </c>
      <c r="J75" s="365">
        <v>8</v>
      </c>
      <c r="K75" s="204"/>
      <c r="L75" s="365">
        <v>8</v>
      </c>
      <c r="M75" s="365">
        <v>8</v>
      </c>
      <c r="N75" s="365">
        <v>8</v>
      </c>
      <c r="O75" s="365">
        <v>8</v>
      </c>
      <c r="P75" s="365">
        <v>8</v>
      </c>
      <c r="Q75" s="365">
        <v>8</v>
      </c>
      <c r="R75" s="369"/>
      <c r="S75" s="365">
        <v>8</v>
      </c>
      <c r="T75" s="364" t="s">
        <v>340</v>
      </c>
      <c r="U75" s="365">
        <v>8</v>
      </c>
      <c r="V75" s="365">
        <v>8</v>
      </c>
      <c r="W75" s="365">
        <v>8</v>
      </c>
      <c r="X75" s="365">
        <v>8</v>
      </c>
      <c r="Y75" s="204"/>
      <c r="Z75" s="365">
        <v>8</v>
      </c>
      <c r="AA75" s="365">
        <v>8</v>
      </c>
      <c r="AB75" s="365">
        <v>8</v>
      </c>
      <c r="AC75" s="365">
        <v>8</v>
      </c>
      <c r="AD75" s="365">
        <v>8</v>
      </c>
      <c r="AE75" s="365">
        <v>8</v>
      </c>
      <c r="AF75" s="216"/>
      <c r="AG75" s="216">
        <v>8</v>
      </c>
      <c r="AH75" s="298">
        <v>8</v>
      </c>
      <c r="AI75" s="217"/>
      <c r="AJ75" s="183">
        <f>ROUND(SUM(E75:AI75)/8,1)</f>
        <v>25</v>
      </c>
      <c r="AK75" s="207">
        <f>SUM(E76:AJ76)</f>
        <v>6.32</v>
      </c>
      <c r="AL75" s="207"/>
      <c r="AM75" s="207">
        <f>COUNTIF(E75:AI75,"L")</f>
        <v>0</v>
      </c>
      <c r="AN75" s="207">
        <f>COUNTIF(E75:AI75,"P")</f>
        <v>1</v>
      </c>
      <c r="AO75" s="183">
        <f>VLOOKUP(C75,[1]BCC!$C$6:$DJ$75,10,0)</f>
        <v>1</v>
      </c>
      <c r="AP75" s="183">
        <f>AO75-AN75</f>
        <v>0</v>
      </c>
      <c r="AQ75" s="183"/>
      <c r="AR75" s="5"/>
      <c r="AS75" s="5"/>
      <c r="AT75" s="363"/>
    </row>
    <row r="76" spans="1:46" ht="19.5" customHeight="1" x14ac:dyDescent="0.25">
      <c r="A76" s="170"/>
      <c r="B76" s="173"/>
      <c r="C76" s="301"/>
      <c r="D76" s="171"/>
      <c r="E76" s="367">
        <v>2.1</v>
      </c>
      <c r="F76" s="367">
        <v>2.1</v>
      </c>
      <c r="G76" s="367">
        <v>2.12</v>
      </c>
      <c r="H76" s="367"/>
      <c r="I76" s="367"/>
      <c r="J76" s="367"/>
      <c r="K76" s="209"/>
      <c r="L76" s="367"/>
      <c r="M76" s="367"/>
      <c r="N76" s="367"/>
      <c r="O76" s="367"/>
      <c r="P76" s="367"/>
      <c r="Q76" s="367"/>
      <c r="R76" s="368"/>
      <c r="S76" s="367"/>
      <c r="T76" s="367"/>
      <c r="U76" s="367"/>
      <c r="V76" s="367"/>
      <c r="W76" s="367"/>
      <c r="X76" s="367"/>
      <c r="Y76" s="209"/>
      <c r="Z76" s="367"/>
      <c r="AA76" s="367"/>
      <c r="AB76" s="367"/>
      <c r="AC76" s="367"/>
      <c r="AD76" s="367"/>
      <c r="AE76" s="367"/>
      <c r="AF76" s="209"/>
      <c r="AG76" s="209"/>
      <c r="AH76" s="297"/>
      <c r="AI76" s="211"/>
      <c r="AJ76" s="323"/>
      <c r="AK76" s="212"/>
      <c r="AL76" s="212"/>
      <c r="AM76" s="212"/>
      <c r="AN76" s="212"/>
      <c r="AO76" s="174"/>
      <c r="AP76" s="174"/>
      <c r="AQ76" s="174"/>
      <c r="AR76" s="5"/>
      <c r="AS76" s="5"/>
      <c r="AT76" s="363"/>
    </row>
    <row r="77" spans="1:46" ht="19.5" customHeight="1" x14ac:dyDescent="0.25">
      <c r="A77" s="168">
        <f>+A75+1</f>
        <v>34</v>
      </c>
      <c r="B77" s="172" t="s">
        <v>303</v>
      </c>
      <c r="C77" s="300" t="s">
        <v>307</v>
      </c>
      <c r="D77" s="169" t="s">
        <v>54</v>
      </c>
      <c r="E77" s="365">
        <v>8</v>
      </c>
      <c r="F77" s="365">
        <v>8</v>
      </c>
      <c r="G77" s="365">
        <v>8</v>
      </c>
      <c r="H77" s="365">
        <v>8</v>
      </c>
      <c r="I77" s="365">
        <v>8</v>
      </c>
      <c r="J77" s="365">
        <v>8</v>
      </c>
      <c r="K77" s="204"/>
      <c r="L77" s="365">
        <v>8</v>
      </c>
      <c r="M77" s="365">
        <v>8</v>
      </c>
      <c r="N77" s="365">
        <v>8</v>
      </c>
      <c r="O77" s="365">
        <v>8</v>
      </c>
      <c r="P77" s="365">
        <v>8</v>
      </c>
      <c r="Q77" s="365">
        <v>8</v>
      </c>
      <c r="R77" s="369"/>
      <c r="S77" s="365">
        <v>8</v>
      </c>
      <c r="T77" s="365">
        <v>8</v>
      </c>
      <c r="U77" s="365">
        <v>8</v>
      </c>
      <c r="V77" s="365">
        <v>8</v>
      </c>
      <c r="W77" s="365">
        <v>8</v>
      </c>
      <c r="X77" s="365">
        <v>8</v>
      </c>
      <c r="Y77" s="204"/>
      <c r="Z77" s="365">
        <v>8</v>
      </c>
      <c r="AA77" s="365">
        <v>8</v>
      </c>
      <c r="AB77" s="365">
        <v>8</v>
      </c>
      <c r="AC77" s="365">
        <v>8</v>
      </c>
      <c r="AD77" s="365">
        <v>8</v>
      </c>
      <c r="AE77" s="365">
        <v>8</v>
      </c>
      <c r="AF77" s="216"/>
      <c r="AG77" s="350">
        <v>8</v>
      </c>
      <c r="AH77" s="324">
        <v>8</v>
      </c>
      <c r="AI77" s="217"/>
      <c r="AJ77" s="183">
        <f>ROUND(SUM(E77:AI77)/8,1)</f>
        <v>26</v>
      </c>
      <c r="AK77" s="207">
        <f>SUM(E78:AJ78)-AL77</f>
        <v>8.8000000000000007</v>
      </c>
      <c r="AL77" s="207">
        <v>8</v>
      </c>
      <c r="AM77" s="207">
        <f>COUNTIF(E77:AI77,"L")</f>
        <v>0</v>
      </c>
      <c r="AN77" s="207">
        <f>COUNTIF(E77:AI77,"P")</f>
        <v>0</v>
      </c>
      <c r="AO77" s="183">
        <f>VLOOKUP(C77,[1]BCC!$C$6:$DJ$75,10,0)</f>
        <v>1</v>
      </c>
      <c r="AP77" s="183">
        <f>AO77-AN77</f>
        <v>1</v>
      </c>
      <c r="AQ77" s="183"/>
      <c r="AR77" s="5"/>
      <c r="AS77" s="5"/>
      <c r="AT77" s="363"/>
    </row>
    <row r="78" spans="1:46" ht="19.5" customHeight="1" x14ac:dyDescent="0.25">
      <c r="A78" s="170"/>
      <c r="B78" s="173"/>
      <c r="C78" s="301"/>
      <c r="D78" s="171"/>
      <c r="E78" s="367"/>
      <c r="F78" s="367"/>
      <c r="G78" s="367">
        <v>0.67</v>
      </c>
      <c r="H78" s="367"/>
      <c r="I78" s="367"/>
      <c r="J78" s="367"/>
      <c r="K78" s="209"/>
      <c r="L78" s="367"/>
      <c r="M78" s="367"/>
      <c r="N78" s="367"/>
      <c r="O78" s="367"/>
      <c r="P78" s="367"/>
      <c r="Q78" s="367"/>
      <c r="R78" s="368"/>
      <c r="S78" s="367"/>
      <c r="T78" s="367"/>
      <c r="U78" s="367"/>
      <c r="V78" s="367"/>
      <c r="W78" s="367"/>
      <c r="X78" s="367"/>
      <c r="Y78" s="209"/>
      <c r="Z78" s="367"/>
      <c r="AA78" s="367"/>
      <c r="AB78" s="367"/>
      <c r="AC78" s="367">
        <v>1.1299999999999999</v>
      </c>
      <c r="AD78" s="367">
        <v>4</v>
      </c>
      <c r="AE78" s="367">
        <v>3</v>
      </c>
      <c r="AF78" s="368">
        <v>8</v>
      </c>
      <c r="AG78" s="209"/>
      <c r="AH78" s="209"/>
      <c r="AI78" s="211"/>
      <c r="AJ78" s="323"/>
      <c r="AK78" s="212"/>
      <c r="AL78" s="212"/>
      <c r="AM78" s="212"/>
      <c r="AN78" s="212"/>
      <c r="AO78" s="174"/>
      <c r="AP78" s="174"/>
      <c r="AQ78" s="174"/>
      <c r="AR78" s="5"/>
      <c r="AS78" s="5"/>
      <c r="AT78" s="363"/>
    </row>
    <row r="79" spans="1:46" ht="19.5" customHeight="1" x14ac:dyDescent="0.25">
      <c r="A79" s="168">
        <f>+A77+1</f>
        <v>35</v>
      </c>
      <c r="B79" s="172" t="s">
        <v>304</v>
      </c>
      <c r="C79" s="300" t="s">
        <v>308</v>
      </c>
      <c r="D79" s="169" t="s">
        <v>54</v>
      </c>
      <c r="E79" s="365">
        <v>8</v>
      </c>
      <c r="F79" s="365">
        <v>8</v>
      </c>
      <c r="G79" s="365">
        <v>8</v>
      </c>
      <c r="H79" s="365">
        <v>8</v>
      </c>
      <c r="I79" s="365">
        <v>8</v>
      </c>
      <c r="J79" s="365">
        <v>8</v>
      </c>
      <c r="K79" s="204"/>
      <c r="L79" s="365">
        <v>8</v>
      </c>
      <c r="M79" s="365">
        <v>8</v>
      </c>
      <c r="N79" s="365">
        <v>8</v>
      </c>
      <c r="O79" s="365">
        <v>8</v>
      </c>
      <c r="P79" s="365">
        <v>8</v>
      </c>
      <c r="Q79" s="365">
        <v>8</v>
      </c>
      <c r="R79" s="369"/>
      <c r="S79" s="365" t="s">
        <v>341</v>
      </c>
      <c r="T79" s="365" t="s">
        <v>341</v>
      </c>
      <c r="U79" s="365">
        <v>8</v>
      </c>
      <c r="V79" s="364" t="s">
        <v>340</v>
      </c>
      <c r="W79" s="365">
        <v>8</v>
      </c>
      <c r="X79" s="365">
        <v>8</v>
      </c>
      <c r="Y79" s="204"/>
      <c r="Z79" s="365">
        <v>8</v>
      </c>
      <c r="AA79" s="365">
        <v>8</v>
      </c>
      <c r="AB79" s="365">
        <v>8</v>
      </c>
      <c r="AC79" s="365">
        <v>8</v>
      </c>
      <c r="AD79" s="365">
        <v>8</v>
      </c>
      <c r="AE79" s="365">
        <v>8</v>
      </c>
      <c r="AF79" s="216"/>
      <c r="AG79" s="365">
        <v>8</v>
      </c>
      <c r="AH79" s="365">
        <v>8</v>
      </c>
      <c r="AI79" s="217"/>
      <c r="AJ79" s="183">
        <f>ROUND(SUM(E79:AI79)/8,1)</f>
        <v>23</v>
      </c>
      <c r="AK79" s="207">
        <f>SUM(E80:AJ80)</f>
        <v>33.870000000000005</v>
      </c>
      <c r="AL79" s="207"/>
      <c r="AM79" s="207">
        <f>COUNTIF(E79:AI79,"L")</f>
        <v>0</v>
      </c>
      <c r="AN79" s="207">
        <f>COUNTIF(E79:AI79,"P")</f>
        <v>1</v>
      </c>
      <c r="AO79" s="183">
        <f>VLOOKUP(C79,[1]BCC!$C$6:$DJ$75,10,0)</f>
        <v>1</v>
      </c>
      <c r="AP79" s="183">
        <f>AO79-AN79</f>
        <v>0</v>
      </c>
      <c r="AQ79" s="183"/>
      <c r="AR79" s="5"/>
      <c r="AS79" s="5"/>
      <c r="AT79" s="363"/>
    </row>
    <row r="80" spans="1:46" ht="19.5" customHeight="1" x14ac:dyDescent="0.25">
      <c r="A80" s="170"/>
      <c r="B80" s="173"/>
      <c r="C80" s="301"/>
      <c r="D80" s="171"/>
      <c r="E80" s="367"/>
      <c r="F80" s="367"/>
      <c r="G80" s="367"/>
      <c r="H80" s="367"/>
      <c r="I80" s="367"/>
      <c r="J80" s="367"/>
      <c r="K80" s="209"/>
      <c r="L80" s="367">
        <v>4</v>
      </c>
      <c r="M80" s="367"/>
      <c r="N80" s="367"/>
      <c r="O80" s="367"/>
      <c r="P80" s="367"/>
      <c r="Q80" s="367"/>
      <c r="R80" s="368">
        <v>5.09</v>
      </c>
      <c r="S80" s="367"/>
      <c r="T80" s="367"/>
      <c r="U80" s="367"/>
      <c r="V80" s="367"/>
      <c r="W80" s="367">
        <v>4</v>
      </c>
      <c r="X80" s="367">
        <v>4</v>
      </c>
      <c r="Y80" s="209"/>
      <c r="Z80" s="367"/>
      <c r="AA80" s="367"/>
      <c r="AB80" s="367">
        <v>1.3</v>
      </c>
      <c r="AC80" s="367">
        <v>4</v>
      </c>
      <c r="AD80" s="367">
        <v>4</v>
      </c>
      <c r="AE80" s="367"/>
      <c r="AF80" s="209"/>
      <c r="AG80" s="367">
        <v>3.48</v>
      </c>
      <c r="AH80" s="367">
        <v>4</v>
      </c>
      <c r="AI80" s="211"/>
      <c r="AJ80" s="323"/>
      <c r="AK80" s="212"/>
      <c r="AL80" s="212"/>
      <c r="AM80" s="212"/>
      <c r="AN80" s="212"/>
      <c r="AO80" s="174"/>
      <c r="AP80" s="174"/>
      <c r="AQ80" s="174"/>
      <c r="AR80" s="5"/>
      <c r="AS80" s="5"/>
      <c r="AT80" s="363"/>
    </row>
    <row r="81" spans="1:46" ht="19.5" customHeight="1" x14ac:dyDescent="0.25">
      <c r="A81" s="168">
        <f>+A79+1</f>
        <v>36</v>
      </c>
      <c r="B81" s="172" t="s">
        <v>305</v>
      </c>
      <c r="C81" s="300" t="s">
        <v>309</v>
      </c>
      <c r="D81" s="169" t="s">
        <v>54</v>
      </c>
      <c r="E81" s="365">
        <v>8</v>
      </c>
      <c r="F81" s="365">
        <v>8</v>
      </c>
      <c r="G81" s="365">
        <v>8</v>
      </c>
      <c r="H81" s="365">
        <v>8</v>
      </c>
      <c r="I81" s="365">
        <v>8</v>
      </c>
      <c r="J81" s="365">
        <v>8</v>
      </c>
      <c r="K81" s="204">
        <v>8</v>
      </c>
      <c r="L81" s="365">
        <v>8</v>
      </c>
      <c r="M81" s="365" t="s">
        <v>340</v>
      </c>
      <c r="N81" s="365">
        <v>8</v>
      </c>
      <c r="O81" s="365">
        <v>8</v>
      </c>
      <c r="P81" s="365">
        <v>8</v>
      </c>
      <c r="Q81" s="365">
        <v>8</v>
      </c>
      <c r="R81" s="369"/>
      <c r="S81" s="365">
        <v>8</v>
      </c>
      <c r="T81" s="365">
        <v>8</v>
      </c>
      <c r="U81" s="365">
        <v>8</v>
      </c>
      <c r="V81" s="365">
        <v>8</v>
      </c>
      <c r="W81" s="365">
        <v>8</v>
      </c>
      <c r="X81" s="365">
        <v>8</v>
      </c>
      <c r="Y81" s="204"/>
      <c r="Z81" s="365">
        <v>8</v>
      </c>
      <c r="AA81" s="365">
        <v>8</v>
      </c>
      <c r="AB81" s="365">
        <v>8</v>
      </c>
      <c r="AC81" s="365">
        <v>8</v>
      </c>
      <c r="AD81" s="365">
        <v>8</v>
      </c>
      <c r="AE81" s="365">
        <v>8</v>
      </c>
      <c r="AF81" s="216"/>
      <c r="AG81" s="365">
        <v>8</v>
      </c>
      <c r="AH81" s="365">
        <v>8</v>
      </c>
      <c r="AI81" s="217"/>
      <c r="AJ81" s="183">
        <f>ROUND(SUM(E81:AI81)/8,1)</f>
        <v>26</v>
      </c>
      <c r="AK81" s="207">
        <f>SUM(E82:AJ82)</f>
        <v>38.819999999999993</v>
      </c>
      <c r="AL81" s="207"/>
      <c r="AM81" s="207">
        <f>COUNTIF(E81:AI81,"L")</f>
        <v>0</v>
      </c>
      <c r="AN81" s="207">
        <f>COUNTIF(E81:AI81,"P")</f>
        <v>1</v>
      </c>
      <c r="AO81" s="183">
        <f>VLOOKUP(C81,[1]BCC!$C$6:$DJ$75,10,0)</f>
        <v>2</v>
      </c>
      <c r="AP81" s="183">
        <f>AO81-AN81</f>
        <v>1</v>
      </c>
      <c r="AQ81" s="183"/>
      <c r="AR81" s="5"/>
      <c r="AS81" s="5"/>
      <c r="AT81" s="363"/>
    </row>
    <row r="82" spans="1:46" ht="19.5" customHeight="1" x14ac:dyDescent="0.25">
      <c r="A82" s="170"/>
      <c r="B82" s="173"/>
      <c r="C82" s="301"/>
      <c r="D82" s="171"/>
      <c r="E82" s="367"/>
      <c r="F82" s="367">
        <v>2.5499999999999998</v>
      </c>
      <c r="G82" s="367"/>
      <c r="H82" s="367">
        <v>3.45</v>
      </c>
      <c r="I82" s="367"/>
      <c r="J82" s="367">
        <v>3.08</v>
      </c>
      <c r="K82" s="209"/>
      <c r="L82" s="367"/>
      <c r="M82" s="367"/>
      <c r="N82" s="367">
        <v>3.47</v>
      </c>
      <c r="O82" s="367">
        <v>3.47</v>
      </c>
      <c r="P82" s="367">
        <v>3.47</v>
      </c>
      <c r="Q82" s="367"/>
      <c r="R82" s="368"/>
      <c r="S82" s="367"/>
      <c r="T82" s="367">
        <v>3.45</v>
      </c>
      <c r="U82" s="367">
        <v>3.43</v>
      </c>
      <c r="V82" s="367"/>
      <c r="W82" s="367"/>
      <c r="X82" s="367">
        <v>3.45</v>
      </c>
      <c r="Y82" s="209"/>
      <c r="Z82" s="367"/>
      <c r="AA82" s="367">
        <v>2</v>
      </c>
      <c r="AB82" s="367">
        <v>2</v>
      </c>
      <c r="AC82" s="367">
        <v>2</v>
      </c>
      <c r="AD82" s="367">
        <v>3</v>
      </c>
      <c r="AE82" s="367"/>
      <c r="AF82" s="209"/>
      <c r="AG82" s="367"/>
      <c r="AH82" s="367"/>
      <c r="AI82" s="211"/>
      <c r="AJ82" s="323"/>
      <c r="AK82" s="212"/>
      <c r="AL82" s="212"/>
      <c r="AM82" s="212"/>
      <c r="AN82" s="212"/>
      <c r="AO82" s="174"/>
      <c r="AP82" s="174"/>
      <c r="AQ82" s="174"/>
      <c r="AR82" s="5"/>
      <c r="AS82" s="5"/>
      <c r="AT82" s="363"/>
    </row>
    <row r="83" spans="1:46" ht="19.5" customHeight="1" x14ac:dyDescent="0.25">
      <c r="A83" s="168">
        <f>+A81+1</f>
        <v>37</v>
      </c>
      <c r="B83" s="172" t="s">
        <v>306</v>
      </c>
      <c r="C83" s="300" t="s">
        <v>310</v>
      </c>
      <c r="D83" s="169" t="s">
        <v>54</v>
      </c>
      <c r="E83" s="365">
        <v>8</v>
      </c>
      <c r="F83" s="365">
        <v>8</v>
      </c>
      <c r="G83" s="365">
        <v>8</v>
      </c>
      <c r="H83" s="365">
        <v>8</v>
      </c>
      <c r="I83" s="365">
        <v>8</v>
      </c>
      <c r="J83" s="365">
        <v>8</v>
      </c>
      <c r="K83" s="204"/>
      <c r="L83" s="365">
        <v>8</v>
      </c>
      <c r="M83" s="365">
        <v>8</v>
      </c>
      <c r="N83" s="365">
        <v>8</v>
      </c>
      <c r="O83" s="365">
        <v>8</v>
      </c>
      <c r="P83" s="365">
        <v>8</v>
      </c>
      <c r="Q83" s="365">
        <v>8</v>
      </c>
      <c r="R83" s="369"/>
      <c r="S83" s="365">
        <v>8</v>
      </c>
      <c r="T83" s="365">
        <v>8</v>
      </c>
      <c r="U83" s="365">
        <v>8</v>
      </c>
      <c r="V83" s="365">
        <v>8</v>
      </c>
      <c r="W83" s="365">
        <v>8</v>
      </c>
      <c r="X83" s="365">
        <v>8</v>
      </c>
      <c r="Y83" s="204"/>
      <c r="Z83" s="365">
        <v>8</v>
      </c>
      <c r="AA83" s="365">
        <v>8</v>
      </c>
      <c r="AB83" s="365">
        <v>8</v>
      </c>
      <c r="AC83" s="365">
        <v>8</v>
      </c>
      <c r="AD83" s="365">
        <v>8</v>
      </c>
      <c r="AE83" s="365">
        <v>8</v>
      </c>
      <c r="AF83" s="216"/>
      <c r="AG83" s="205">
        <v>8</v>
      </c>
      <c r="AH83" s="205">
        <v>8</v>
      </c>
      <c r="AI83" s="217"/>
      <c r="AJ83" s="183">
        <f>ROUND(SUM(E83:AI83)/8,1)</f>
        <v>26</v>
      </c>
      <c r="AK83" s="207">
        <f>SUM(E84:AJ84)</f>
        <v>23.754000000000001</v>
      </c>
      <c r="AL83" s="207"/>
      <c r="AM83" s="207">
        <f>COUNTIF(E83:AI83,"L")</f>
        <v>0</v>
      </c>
      <c r="AN83" s="207">
        <f>COUNTIF(E83:AI83,"P")</f>
        <v>0</v>
      </c>
      <c r="AO83" s="183">
        <f>VLOOKUP(C83,[1]BCC!$C$6:$DJ$75,10,0)</f>
        <v>0</v>
      </c>
      <c r="AP83" s="183">
        <f t="shared" ref="AP83" si="75">AO83-AN83</f>
        <v>0</v>
      </c>
      <c r="AQ83" s="183"/>
      <c r="AR83" s="5"/>
      <c r="AS83" s="5"/>
      <c r="AT83" s="363"/>
    </row>
    <row r="84" spans="1:46" ht="19.5" customHeight="1" x14ac:dyDescent="0.25">
      <c r="A84" s="170"/>
      <c r="B84" s="173"/>
      <c r="C84" s="301"/>
      <c r="D84" s="171"/>
      <c r="E84" s="367"/>
      <c r="F84" s="367"/>
      <c r="G84" s="367"/>
      <c r="H84" s="367"/>
      <c r="I84" s="367"/>
      <c r="J84" s="367"/>
      <c r="K84" s="209"/>
      <c r="L84" s="367"/>
      <c r="M84" s="367"/>
      <c r="N84" s="367"/>
      <c r="O84" s="367"/>
      <c r="P84" s="367"/>
      <c r="Q84" s="367"/>
      <c r="R84" s="368"/>
      <c r="S84" s="367">
        <v>3</v>
      </c>
      <c r="T84" s="367">
        <v>3</v>
      </c>
      <c r="U84" s="367"/>
      <c r="V84" s="367">
        <v>3</v>
      </c>
      <c r="W84" s="367">
        <v>2.9540000000000002</v>
      </c>
      <c r="X84" s="367"/>
      <c r="Y84" s="209"/>
      <c r="Z84" s="367"/>
      <c r="AA84" s="367">
        <v>3</v>
      </c>
      <c r="AB84" s="367">
        <v>3</v>
      </c>
      <c r="AC84" s="367">
        <v>2.8</v>
      </c>
      <c r="AD84" s="367">
        <v>2</v>
      </c>
      <c r="AE84" s="367">
        <v>1</v>
      </c>
      <c r="AF84" s="209"/>
      <c r="AG84" s="209"/>
      <c r="AH84" s="209"/>
      <c r="AI84" s="211"/>
      <c r="AJ84" s="323"/>
      <c r="AK84" s="212"/>
      <c r="AL84" s="212"/>
      <c r="AM84" s="212"/>
      <c r="AN84" s="212"/>
      <c r="AO84" s="174"/>
      <c r="AP84" s="174"/>
      <c r="AQ84" s="174"/>
      <c r="AR84" s="5"/>
      <c r="AS84" s="5"/>
      <c r="AT84" s="363"/>
    </row>
    <row r="85" spans="1:46" ht="19.5" customHeight="1" x14ac:dyDescent="0.25">
      <c r="A85" s="168">
        <f>+A83+1</f>
        <v>38</v>
      </c>
      <c r="B85" s="172" t="s">
        <v>311</v>
      </c>
      <c r="C85" s="300" t="s">
        <v>331</v>
      </c>
      <c r="D85" s="169" t="s">
        <v>54</v>
      </c>
      <c r="E85" s="365">
        <v>8</v>
      </c>
      <c r="F85" s="365">
        <v>8</v>
      </c>
      <c r="G85" s="365">
        <v>8</v>
      </c>
      <c r="H85" s="365">
        <v>8</v>
      </c>
      <c r="I85" s="365">
        <v>8</v>
      </c>
      <c r="J85" s="365">
        <v>8</v>
      </c>
      <c r="K85" s="204"/>
      <c r="L85" s="365">
        <v>8</v>
      </c>
      <c r="M85" s="365">
        <v>8</v>
      </c>
      <c r="N85" s="365">
        <v>8</v>
      </c>
      <c r="O85" s="365">
        <v>8</v>
      </c>
      <c r="P85" s="365">
        <v>8</v>
      </c>
      <c r="Q85" s="365">
        <v>8</v>
      </c>
      <c r="R85" s="369"/>
      <c r="S85" s="365">
        <v>8</v>
      </c>
      <c r="T85" s="365">
        <v>8</v>
      </c>
      <c r="U85" s="365">
        <v>8</v>
      </c>
      <c r="V85" s="365">
        <v>8</v>
      </c>
      <c r="W85" s="365">
        <v>8</v>
      </c>
      <c r="X85" s="365">
        <v>8</v>
      </c>
      <c r="Y85" s="204"/>
      <c r="Z85" s="365">
        <v>8</v>
      </c>
      <c r="AA85" s="365">
        <v>8</v>
      </c>
      <c r="AB85" s="365">
        <v>8</v>
      </c>
      <c r="AC85" s="365">
        <v>8</v>
      </c>
      <c r="AD85" s="365">
        <v>8</v>
      </c>
      <c r="AE85" s="365">
        <v>8</v>
      </c>
      <c r="AF85" s="216"/>
      <c r="AG85" s="205">
        <v>8</v>
      </c>
      <c r="AH85" s="205">
        <v>8</v>
      </c>
      <c r="AI85" s="217"/>
      <c r="AJ85" s="183">
        <f>ROUND(SUM(E85:AI85)/8,1)</f>
        <v>26</v>
      </c>
      <c r="AK85" s="207">
        <f>SUM(E86:AJ86)</f>
        <v>2.9800000000000004</v>
      </c>
      <c r="AL85" s="207"/>
      <c r="AM85" s="207">
        <f>COUNTIF(E85:AI85,"L")</f>
        <v>0</v>
      </c>
      <c r="AN85" s="207">
        <f>COUNTIF(E85:AI85,"P")</f>
        <v>0</v>
      </c>
      <c r="AO85" s="183">
        <f>VLOOKUP(C85,[1]BCC!$C$6:$DJ$75,10,0)</f>
        <v>0</v>
      </c>
      <c r="AP85" s="183">
        <f t="shared" ref="AP85" si="76">AO85-AN85</f>
        <v>0</v>
      </c>
      <c r="AQ85" s="183"/>
      <c r="AR85" s="5"/>
      <c r="AS85" s="5"/>
      <c r="AT85" s="363"/>
    </row>
    <row r="86" spans="1:46" ht="19.5" customHeight="1" x14ac:dyDescent="0.25">
      <c r="A86" s="189"/>
      <c r="B86" s="190"/>
      <c r="C86" s="301"/>
      <c r="D86" s="191"/>
      <c r="E86" s="367"/>
      <c r="F86" s="367"/>
      <c r="G86" s="367"/>
      <c r="H86" s="367"/>
      <c r="I86" s="367">
        <v>0.67</v>
      </c>
      <c r="J86" s="367"/>
      <c r="K86" s="209"/>
      <c r="L86" s="367"/>
      <c r="M86" s="367"/>
      <c r="N86" s="367"/>
      <c r="O86" s="367"/>
      <c r="P86" s="367"/>
      <c r="Q86" s="367"/>
      <c r="R86" s="368"/>
      <c r="S86" s="367"/>
      <c r="T86" s="367"/>
      <c r="U86" s="367"/>
      <c r="V86" s="367">
        <v>0.53</v>
      </c>
      <c r="W86" s="367">
        <v>1.78</v>
      </c>
      <c r="X86" s="367"/>
      <c r="Y86" s="209"/>
      <c r="Z86" s="367"/>
      <c r="AA86" s="367"/>
      <c r="AB86" s="367"/>
      <c r="AC86" s="367"/>
      <c r="AD86" s="367"/>
      <c r="AE86" s="367"/>
      <c r="AF86" s="342"/>
      <c r="AG86" s="342"/>
      <c r="AH86" s="342"/>
      <c r="AI86" s="345"/>
      <c r="AJ86" s="192"/>
      <c r="AK86" s="215"/>
      <c r="AL86" s="215"/>
      <c r="AM86" s="215"/>
      <c r="AN86" s="215"/>
      <c r="AO86" s="174"/>
      <c r="AP86" s="174"/>
      <c r="AQ86" s="192"/>
      <c r="AR86" s="5"/>
      <c r="AS86" s="5"/>
      <c r="AT86" s="363"/>
    </row>
    <row r="87" spans="1:46" ht="19.5" customHeight="1" x14ac:dyDescent="0.25">
      <c r="A87" s="168">
        <f>+A85+1</f>
        <v>39</v>
      </c>
      <c r="B87" s="172" t="s">
        <v>328</v>
      </c>
      <c r="C87" s="300" t="s">
        <v>325</v>
      </c>
      <c r="D87" s="169" t="s">
        <v>54</v>
      </c>
      <c r="E87" s="365"/>
      <c r="F87" s="365"/>
      <c r="G87" s="365"/>
      <c r="H87" s="365"/>
      <c r="I87" s="365"/>
      <c r="J87" s="365"/>
      <c r="K87" s="204"/>
      <c r="L87" s="298"/>
      <c r="M87" s="298"/>
      <c r="N87" s="298"/>
      <c r="O87" s="298"/>
      <c r="P87" s="298"/>
      <c r="Q87" s="298"/>
      <c r="R87" s="369"/>
      <c r="S87" s="365">
        <v>8</v>
      </c>
      <c r="T87" s="365">
        <v>8</v>
      </c>
      <c r="U87" s="365">
        <v>8</v>
      </c>
      <c r="V87" s="365">
        <v>8</v>
      </c>
      <c r="W87" s="365">
        <v>8</v>
      </c>
      <c r="X87" s="365">
        <v>8</v>
      </c>
      <c r="Y87" s="204"/>
      <c r="Z87" s="365">
        <v>8</v>
      </c>
      <c r="AA87" s="365">
        <v>8</v>
      </c>
      <c r="AB87" s="365">
        <v>8</v>
      </c>
      <c r="AC87" s="365">
        <v>8</v>
      </c>
      <c r="AD87" s="365">
        <v>8</v>
      </c>
      <c r="AE87" s="365">
        <v>8</v>
      </c>
      <c r="AF87" s="216"/>
      <c r="AG87" s="216">
        <v>8</v>
      </c>
      <c r="AH87" s="298">
        <v>8</v>
      </c>
      <c r="AI87" s="217"/>
      <c r="AJ87" s="183">
        <f>ROUND(SUM(E87:AI87)/8,1)</f>
        <v>14</v>
      </c>
      <c r="AK87" s="207">
        <f>SUM(E88:AJ88)</f>
        <v>0</v>
      </c>
      <c r="AL87" s="207"/>
      <c r="AM87" s="207">
        <f>COUNTIF(E87:AI87,"L")</f>
        <v>0</v>
      </c>
      <c r="AN87" s="207">
        <f>COUNTIF(E87:AI87,"P")</f>
        <v>0</v>
      </c>
      <c r="AO87" s="183">
        <f>VLOOKUP(C87,[1]BCC!$C$6:$DJ$75,10,0)</f>
        <v>0</v>
      </c>
      <c r="AP87" s="183">
        <f t="shared" ref="AP87" si="77">AO87-AN87</f>
        <v>0</v>
      </c>
      <c r="AQ87" s="183"/>
      <c r="AR87" s="5"/>
      <c r="AS87" s="5"/>
      <c r="AT87" s="363"/>
    </row>
    <row r="88" spans="1:46" ht="19.5" customHeight="1" x14ac:dyDescent="0.25">
      <c r="A88" s="170"/>
      <c r="B88" s="173"/>
      <c r="C88" s="301"/>
      <c r="D88" s="171"/>
      <c r="E88" s="367"/>
      <c r="F88" s="367"/>
      <c r="G88" s="367"/>
      <c r="H88" s="367"/>
      <c r="I88" s="367"/>
      <c r="J88" s="367"/>
      <c r="K88" s="209"/>
      <c r="L88" s="297"/>
      <c r="M88" s="297"/>
      <c r="N88" s="297"/>
      <c r="O88" s="297"/>
      <c r="P88" s="297"/>
      <c r="Q88" s="297"/>
      <c r="R88" s="368"/>
      <c r="S88" s="367"/>
      <c r="T88" s="367"/>
      <c r="U88" s="367"/>
      <c r="V88" s="367"/>
      <c r="W88" s="367"/>
      <c r="X88" s="367"/>
      <c r="Y88" s="209"/>
      <c r="Z88" s="367"/>
      <c r="AA88" s="367"/>
      <c r="AB88" s="367"/>
      <c r="AC88" s="367"/>
      <c r="AD88" s="367"/>
      <c r="AE88" s="367"/>
      <c r="AF88" s="209"/>
      <c r="AG88" s="209"/>
      <c r="AH88" s="297"/>
      <c r="AI88" s="211"/>
      <c r="AJ88" s="323"/>
      <c r="AK88" s="212"/>
      <c r="AL88" s="212"/>
      <c r="AM88" s="212"/>
      <c r="AN88" s="212"/>
      <c r="AO88" s="174"/>
      <c r="AP88" s="174"/>
      <c r="AQ88" s="174"/>
      <c r="AR88" s="5"/>
      <c r="AS88" s="5"/>
      <c r="AT88" s="363"/>
    </row>
    <row r="89" spans="1:46" ht="19.5" customHeight="1" x14ac:dyDescent="0.25">
      <c r="A89" s="168">
        <f>+A87+1</f>
        <v>40</v>
      </c>
      <c r="B89" s="172" t="s">
        <v>329</v>
      </c>
      <c r="C89" s="300" t="s">
        <v>330</v>
      </c>
      <c r="D89" s="169" t="s">
        <v>54</v>
      </c>
      <c r="E89" s="365"/>
      <c r="F89" s="365"/>
      <c r="G89" s="365"/>
      <c r="H89" s="365"/>
      <c r="I89" s="365"/>
      <c r="J89" s="365"/>
      <c r="K89" s="204"/>
      <c r="L89" s="298"/>
      <c r="M89" s="298"/>
      <c r="N89" s="298"/>
      <c r="O89" s="298"/>
      <c r="P89" s="298"/>
      <c r="Q89" s="298"/>
      <c r="R89" s="369"/>
      <c r="S89" s="365">
        <v>8</v>
      </c>
      <c r="T89" s="365">
        <v>8</v>
      </c>
      <c r="U89" s="365">
        <v>8</v>
      </c>
      <c r="V89" s="365">
        <v>8</v>
      </c>
      <c r="W89" s="365">
        <v>8</v>
      </c>
      <c r="X89" s="365">
        <v>8</v>
      </c>
      <c r="Y89" s="204"/>
      <c r="Z89" s="365">
        <v>8</v>
      </c>
      <c r="AA89" s="365">
        <v>8</v>
      </c>
      <c r="AB89" s="365">
        <v>8</v>
      </c>
      <c r="AC89" s="365">
        <v>8</v>
      </c>
      <c r="AD89" s="365">
        <v>8</v>
      </c>
      <c r="AE89" s="365">
        <v>8</v>
      </c>
      <c r="AF89" s="216"/>
      <c r="AG89" s="216">
        <v>8</v>
      </c>
      <c r="AH89" s="298">
        <v>8</v>
      </c>
      <c r="AI89" s="217"/>
      <c r="AJ89" s="183">
        <f>ROUND(SUM(E89:AI89)/8,1)</f>
        <v>14</v>
      </c>
      <c r="AK89" s="207">
        <f>SUM(E90:AJ90)</f>
        <v>0</v>
      </c>
      <c r="AL89" s="207"/>
      <c r="AM89" s="207">
        <f>COUNTIF(E89:AI89,"L")</f>
        <v>0</v>
      </c>
      <c r="AN89" s="207">
        <f>COUNTIF(E89:AI89,"P")</f>
        <v>0</v>
      </c>
      <c r="AO89" s="183">
        <f>VLOOKUP(C89,[1]BCC!$C$6:$DJ$75,10,0)</f>
        <v>0</v>
      </c>
      <c r="AP89" s="183">
        <f t="shared" ref="AP89" si="78">AO89-AN89</f>
        <v>0</v>
      </c>
      <c r="AQ89" s="183"/>
      <c r="AR89" s="5"/>
      <c r="AS89" s="5"/>
      <c r="AT89" s="363"/>
    </row>
    <row r="90" spans="1:46" ht="19.5" customHeight="1" x14ac:dyDescent="0.25">
      <c r="A90" s="170"/>
      <c r="B90" s="173"/>
      <c r="C90" s="301"/>
      <c r="D90" s="171"/>
      <c r="E90" s="367"/>
      <c r="F90" s="367"/>
      <c r="G90" s="367"/>
      <c r="H90" s="367"/>
      <c r="I90" s="367"/>
      <c r="J90" s="367"/>
      <c r="K90" s="209"/>
      <c r="L90" s="297"/>
      <c r="M90" s="297"/>
      <c r="N90" s="297"/>
      <c r="O90" s="297"/>
      <c r="P90" s="297"/>
      <c r="Q90" s="297"/>
      <c r="R90" s="368"/>
      <c r="S90" s="367"/>
      <c r="T90" s="367"/>
      <c r="U90" s="367"/>
      <c r="V90" s="367"/>
      <c r="W90" s="367"/>
      <c r="X90" s="367"/>
      <c r="Y90" s="209"/>
      <c r="Z90" s="367"/>
      <c r="AA90" s="367"/>
      <c r="AB90" s="367"/>
      <c r="AC90" s="367"/>
      <c r="AD90" s="367"/>
      <c r="AE90" s="367"/>
      <c r="AF90" s="209"/>
      <c r="AG90" s="209"/>
      <c r="AH90" s="297"/>
      <c r="AI90" s="211"/>
      <c r="AJ90" s="323"/>
      <c r="AK90" s="212"/>
      <c r="AL90" s="212"/>
      <c r="AM90" s="212"/>
      <c r="AN90" s="212"/>
      <c r="AO90" s="174"/>
      <c r="AP90" s="174"/>
      <c r="AQ90" s="174"/>
      <c r="AR90" s="5"/>
      <c r="AS90" s="5"/>
      <c r="AT90" s="363"/>
    </row>
    <row r="91" spans="1:46" ht="19.5" hidden="1" customHeight="1" x14ac:dyDescent="0.25">
      <c r="A91" s="189"/>
      <c r="B91" s="190"/>
      <c r="C91" s="304"/>
      <c r="D91" s="191"/>
      <c r="E91" s="341"/>
      <c r="F91" s="342"/>
      <c r="G91" s="342"/>
      <c r="H91" s="343"/>
      <c r="I91" s="342"/>
      <c r="J91" s="342"/>
      <c r="K91" s="342"/>
      <c r="L91" s="344"/>
      <c r="M91" s="342"/>
      <c r="N91" s="342"/>
      <c r="O91" s="344"/>
      <c r="P91" s="344"/>
      <c r="Q91" s="344"/>
      <c r="R91" s="344"/>
      <c r="S91" s="344"/>
      <c r="T91" s="344"/>
      <c r="U91" s="342"/>
      <c r="V91" s="342"/>
      <c r="W91" s="344"/>
      <c r="X91" s="344"/>
      <c r="Y91" s="344"/>
      <c r="Z91" s="344"/>
      <c r="AA91" s="344"/>
      <c r="AB91" s="342"/>
      <c r="AC91" s="342"/>
      <c r="AD91" s="342"/>
      <c r="AE91" s="342"/>
      <c r="AF91" s="342"/>
      <c r="AG91" s="342"/>
      <c r="AH91" s="342"/>
      <c r="AI91" s="345"/>
      <c r="AJ91" s="192"/>
      <c r="AK91" s="215"/>
      <c r="AL91" s="215"/>
      <c r="AM91" s="215"/>
      <c r="AN91" s="215"/>
      <c r="AO91" s="192"/>
      <c r="AP91" s="192"/>
      <c r="AQ91" s="192"/>
      <c r="AR91" s="5"/>
      <c r="AS91" s="5"/>
    </row>
    <row r="92" spans="1:46" ht="19.5" hidden="1" customHeight="1" x14ac:dyDescent="0.25">
      <c r="A92" s="189"/>
      <c r="B92" s="190"/>
      <c r="C92" s="304"/>
      <c r="D92" s="191"/>
      <c r="E92" s="341"/>
      <c r="F92" s="342"/>
      <c r="G92" s="342"/>
      <c r="H92" s="343"/>
      <c r="I92" s="342"/>
      <c r="J92" s="342"/>
      <c r="K92" s="342"/>
      <c r="L92" s="344"/>
      <c r="M92" s="342"/>
      <c r="N92" s="342"/>
      <c r="O92" s="344"/>
      <c r="P92" s="344"/>
      <c r="Q92" s="344"/>
      <c r="R92" s="344"/>
      <c r="S92" s="344"/>
      <c r="T92" s="344"/>
      <c r="U92" s="342"/>
      <c r="V92" s="342"/>
      <c r="W92" s="344"/>
      <c r="X92" s="344"/>
      <c r="Y92" s="344"/>
      <c r="Z92" s="344"/>
      <c r="AA92" s="344"/>
      <c r="AB92" s="342"/>
      <c r="AC92" s="342"/>
      <c r="AD92" s="342"/>
      <c r="AE92" s="342"/>
      <c r="AF92" s="342"/>
      <c r="AG92" s="342"/>
      <c r="AH92" s="342"/>
      <c r="AI92" s="345"/>
      <c r="AJ92" s="192"/>
      <c r="AK92" s="215"/>
      <c r="AL92" s="215"/>
      <c r="AM92" s="215"/>
      <c r="AN92" s="215"/>
      <c r="AO92" s="192"/>
      <c r="AP92" s="192"/>
      <c r="AQ92" s="192"/>
      <c r="AR92" s="5"/>
      <c r="AS92" s="5"/>
    </row>
    <row r="93" spans="1:46" ht="19.5" hidden="1" customHeight="1" x14ac:dyDescent="0.25">
      <c r="A93" s="189"/>
      <c r="B93" s="190"/>
      <c r="C93" s="304"/>
      <c r="D93" s="191"/>
      <c r="E93" s="341"/>
      <c r="F93" s="342"/>
      <c r="G93" s="342"/>
      <c r="H93" s="343"/>
      <c r="I93" s="342"/>
      <c r="J93" s="342"/>
      <c r="K93" s="342"/>
      <c r="L93" s="344"/>
      <c r="M93" s="342"/>
      <c r="N93" s="342"/>
      <c r="O93" s="344"/>
      <c r="P93" s="344"/>
      <c r="Q93" s="344"/>
      <c r="R93" s="344"/>
      <c r="S93" s="344"/>
      <c r="T93" s="344"/>
      <c r="U93" s="342"/>
      <c r="V93" s="342"/>
      <c r="W93" s="344"/>
      <c r="X93" s="344"/>
      <c r="Y93" s="344"/>
      <c r="Z93" s="344"/>
      <c r="AA93" s="344"/>
      <c r="AB93" s="342"/>
      <c r="AC93" s="342"/>
      <c r="AD93" s="342"/>
      <c r="AE93" s="342"/>
      <c r="AF93" s="342"/>
      <c r="AG93" s="342"/>
      <c r="AH93" s="342"/>
      <c r="AI93" s="345"/>
      <c r="AJ93" s="192"/>
      <c r="AK93" s="215"/>
      <c r="AL93" s="215"/>
      <c r="AM93" s="215"/>
      <c r="AN93" s="215"/>
      <c r="AO93" s="192"/>
      <c r="AP93" s="192"/>
      <c r="AQ93" s="192"/>
      <c r="AR93" s="5"/>
      <c r="AS93" s="5"/>
    </row>
    <row r="94" spans="1:46" ht="19.5" hidden="1" customHeight="1" x14ac:dyDescent="0.25">
      <c r="A94" s="189"/>
      <c r="B94" s="190"/>
      <c r="C94" s="304"/>
      <c r="D94" s="191"/>
      <c r="E94" s="341"/>
      <c r="F94" s="342"/>
      <c r="G94" s="342"/>
      <c r="H94" s="343"/>
      <c r="I94" s="342"/>
      <c r="J94" s="342"/>
      <c r="K94" s="342"/>
      <c r="L94" s="344"/>
      <c r="M94" s="342"/>
      <c r="N94" s="342"/>
      <c r="O94" s="344"/>
      <c r="P94" s="344"/>
      <c r="Q94" s="344"/>
      <c r="R94" s="344"/>
      <c r="S94" s="344"/>
      <c r="T94" s="344"/>
      <c r="U94" s="342"/>
      <c r="V94" s="342"/>
      <c r="W94" s="344"/>
      <c r="X94" s="344"/>
      <c r="Y94" s="344"/>
      <c r="Z94" s="344"/>
      <c r="AA94" s="344"/>
      <c r="AB94" s="342"/>
      <c r="AC94" s="342"/>
      <c r="AD94" s="342"/>
      <c r="AE94" s="342"/>
      <c r="AF94" s="342"/>
      <c r="AG94" s="342"/>
      <c r="AH94" s="342"/>
      <c r="AI94" s="345"/>
      <c r="AJ94" s="192"/>
      <c r="AK94" s="215"/>
      <c r="AL94" s="215"/>
      <c r="AM94" s="215"/>
      <c r="AN94" s="215"/>
      <c r="AO94" s="192"/>
      <c r="AP94" s="192"/>
      <c r="AQ94" s="192"/>
      <c r="AR94" s="5"/>
      <c r="AS94" s="5"/>
    </row>
    <row r="95" spans="1:46" ht="19.5" hidden="1" customHeight="1" x14ac:dyDescent="0.25">
      <c r="A95" s="170"/>
      <c r="B95" s="173"/>
      <c r="C95" s="301"/>
      <c r="D95" s="171"/>
      <c r="E95" s="296"/>
      <c r="F95" s="209"/>
      <c r="G95" s="209"/>
      <c r="H95" s="210"/>
      <c r="I95" s="209"/>
      <c r="J95" s="209"/>
      <c r="K95" s="209"/>
      <c r="L95" s="209"/>
      <c r="M95" s="209"/>
      <c r="N95" s="209"/>
      <c r="O95" s="299"/>
      <c r="P95" s="297"/>
      <c r="Q95" s="297"/>
      <c r="R95" s="297"/>
      <c r="S95" s="297"/>
      <c r="T95" s="297"/>
      <c r="U95" s="209"/>
      <c r="V95" s="210"/>
      <c r="W95" s="297"/>
      <c r="X95" s="297"/>
      <c r="Y95" s="297"/>
      <c r="Z95" s="297"/>
      <c r="AA95" s="297"/>
      <c r="AB95" s="209"/>
      <c r="AC95" s="210"/>
      <c r="AD95" s="209"/>
      <c r="AE95" s="209"/>
      <c r="AF95" s="209"/>
      <c r="AG95" s="209"/>
      <c r="AH95" s="209"/>
      <c r="AI95" s="211"/>
      <c r="AJ95" s="323"/>
      <c r="AK95" s="212"/>
      <c r="AL95" s="212"/>
      <c r="AM95" s="212"/>
      <c r="AN95" s="212"/>
      <c r="AO95" s="174"/>
      <c r="AP95" s="174"/>
      <c r="AQ95" s="174"/>
      <c r="AR95" s="5"/>
      <c r="AS95" s="5"/>
    </row>
    <row r="96" spans="1:46" ht="15.75" customHeight="1" x14ac:dyDescent="0.25">
      <c r="A96" s="114"/>
      <c r="B96" s="114"/>
      <c r="C96" s="97"/>
      <c r="D96" s="115"/>
      <c r="E96" s="116"/>
      <c r="F96" s="117"/>
      <c r="G96" s="117"/>
      <c r="H96" s="118"/>
      <c r="I96" s="116"/>
      <c r="J96" s="116"/>
      <c r="K96" s="116"/>
      <c r="L96" s="116"/>
      <c r="M96" s="116"/>
      <c r="N96" s="116"/>
      <c r="O96" s="119"/>
      <c r="P96" s="116"/>
      <c r="Q96" s="116"/>
      <c r="R96" s="116"/>
      <c r="S96" s="116"/>
      <c r="T96" s="116"/>
      <c r="U96" s="116"/>
      <c r="V96" s="119"/>
      <c r="W96" s="116"/>
      <c r="X96" s="116"/>
      <c r="Y96" s="116"/>
      <c r="Z96" s="116"/>
      <c r="AA96" s="116"/>
      <c r="AB96" s="116"/>
      <c r="AC96" s="119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>
        <f t="shared" ref="AP96" si="79">SUM(AP11:AP95)</f>
        <v>103</v>
      </c>
      <c r="AQ96" s="116"/>
      <c r="AR96" s="5"/>
      <c r="AS96" s="5"/>
    </row>
    <row r="97" spans="1:45" ht="15.75" customHeight="1" x14ac:dyDescent="0.25">
      <c r="A97" s="114"/>
      <c r="B97" s="114"/>
      <c r="C97" s="97"/>
      <c r="D97" s="115"/>
      <c r="E97" s="116"/>
      <c r="F97" s="117"/>
      <c r="G97" s="117"/>
      <c r="H97" s="118"/>
      <c r="I97" s="116"/>
      <c r="J97" s="116"/>
      <c r="K97" s="116"/>
      <c r="L97" s="116"/>
      <c r="M97" s="116"/>
      <c r="N97" s="116"/>
      <c r="O97" s="119"/>
      <c r="P97" s="116"/>
      <c r="Q97" s="116"/>
      <c r="R97" s="116"/>
      <c r="S97" s="116"/>
      <c r="T97" s="116"/>
      <c r="U97" s="116"/>
      <c r="V97" s="119"/>
      <c r="W97" s="116"/>
      <c r="X97" s="116"/>
      <c r="Y97" s="116"/>
      <c r="Z97" s="116"/>
      <c r="AA97" s="116"/>
      <c r="AB97" s="116"/>
      <c r="AC97" s="119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5"/>
      <c r="AS97" s="5"/>
    </row>
    <row r="98" spans="1:45" ht="20.25" x14ac:dyDescent="0.3">
      <c r="A98" s="120" t="s">
        <v>116</v>
      </c>
      <c r="B98" s="5"/>
      <c r="C98" s="8"/>
      <c r="D98" s="8"/>
      <c r="E98" s="5"/>
      <c r="F98" s="121" t="s">
        <v>111</v>
      </c>
      <c r="G98" s="98"/>
      <c r="H98" s="98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 t="s">
        <v>112</v>
      </c>
      <c r="AH98" s="5"/>
      <c r="AI98" s="5"/>
      <c r="AJ98" s="107"/>
      <c r="AK98" s="107"/>
      <c r="AL98" s="107"/>
      <c r="AM98" s="107"/>
      <c r="AN98" s="107"/>
      <c r="AO98" s="107"/>
      <c r="AP98" s="107"/>
      <c r="AQ98" s="107"/>
      <c r="AR98" s="5"/>
      <c r="AS98" s="5"/>
    </row>
    <row r="99" spans="1:45" ht="15.75" customHeight="1" x14ac:dyDescent="0.25">
      <c r="A99" s="139" t="s">
        <v>153</v>
      </c>
      <c r="B99" s="5"/>
      <c r="C99" s="8"/>
      <c r="D99" s="8"/>
      <c r="E99" s="12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120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07"/>
      <c r="AK99" s="107"/>
      <c r="AL99" s="107"/>
      <c r="AM99" s="107"/>
      <c r="AN99" s="107"/>
      <c r="AO99" s="107"/>
      <c r="AP99" s="107"/>
      <c r="AQ99" s="107"/>
      <c r="AR99" s="5"/>
      <c r="AS99" s="5"/>
    </row>
    <row r="100" spans="1:45" ht="15.75" customHeight="1" x14ac:dyDescent="0.25">
      <c r="A100" s="140" t="s">
        <v>154</v>
      </c>
      <c r="B100" s="5"/>
      <c r="C100" s="8"/>
      <c r="D100" s="8"/>
      <c r="E100" s="12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122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07"/>
      <c r="AK100" s="107"/>
      <c r="AL100" s="107"/>
      <c r="AM100" s="107"/>
      <c r="AN100" s="107"/>
      <c r="AO100" s="107"/>
      <c r="AP100" s="107"/>
      <c r="AQ100" s="107"/>
      <c r="AR100" s="5"/>
      <c r="AS100" s="5"/>
    </row>
    <row r="101" spans="1:45" ht="15.75" customHeight="1" x14ac:dyDescent="0.25">
      <c r="A101" s="5" t="s">
        <v>162</v>
      </c>
      <c r="B101" s="8"/>
      <c r="C101" s="8"/>
      <c r="D101" s="8"/>
      <c r="E101" s="12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123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107"/>
      <c r="AK101" s="107"/>
      <c r="AL101" s="107"/>
      <c r="AM101" s="107"/>
      <c r="AN101" s="107"/>
      <c r="AO101" s="107"/>
      <c r="AP101" s="107"/>
      <c r="AQ101" s="107"/>
      <c r="AR101" s="5"/>
      <c r="AS101" s="5"/>
    </row>
    <row r="102" spans="1:45" ht="15.75" customHeight="1" x14ac:dyDescent="0.25">
      <c r="A102" s="5" t="s">
        <v>313</v>
      </c>
      <c r="B102" s="8"/>
      <c r="C102" s="8"/>
      <c r="D102" s="8"/>
      <c r="E102" s="12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123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107"/>
      <c r="AK102" s="107"/>
      <c r="AL102" s="107"/>
      <c r="AM102" s="107"/>
      <c r="AN102" s="107"/>
      <c r="AO102" s="107"/>
      <c r="AP102" s="107"/>
      <c r="AQ102" s="107"/>
      <c r="AR102" s="5"/>
      <c r="AS102" s="5"/>
    </row>
    <row r="103" spans="1:45" ht="15.75" customHeight="1" x14ac:dyDescent="0.25">
      <c r="A103" s="5"/>
      <c r="B103" s="8"/>
      <c r="C103" s="8"/>
      <c r="D103" s="8"/>
      <c r="E103" s="12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123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107"/>
      <c r="AK103" s="107"/>
      <c r="AL103" s="107"/>
      <c r="AM103" s="107"/>
      <c r="AN103" s="107"/>
      <c r="AO103" s="107"/>
      <c r="AP103" s="107"/>
      <c r="AQ103" s="107"/>
      <c r="AR103" s="5"/>
      <c r="AS103" s="5"/>
    </row>
    <row r="104" spans="1:45" ht="15.75" customHeight="1" x14ac:dyDescent="0.25">
      <c r="A104" s="107"/>
      <c r="B104" s="8"/>
      <c r="C104" s="8"/>
      <c r="D104" s="8"/>
      <c r="E104" s="122"/>
      <c r="F104" s="5"/>
      <c r="G104" s="5"/>
      <c r="H104" s="5"/>
      <c r="I104" s="5"/>
      <c r="J104" s="5"/>
      <c r="K104" s="5"/>
      <c r="L104" s="5"/>
      <c r="M104" s="1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107"/>
      <c r="AK104" s="107"/>
      <c r="AL104" s="107"/>
      <c r="AM104" s="107"/>
      <c r="AN104" s="107"/>
      <c r="AO104" s="107"/>
      <c r="AP104" s="107"/>
      <c r="AQ104" s="107"/>
      <c r="AR104" s="5"/>
      <c r="AS104" s="5"/>
    </row>
    <row r="105" spans="1:45" ht="15.75" customHeight="1" x14ac:dyDescent="0.25">
      <c r="A105" s="107"/>
      <c r="B105" s="8"/>
      <c r="C105" s="8"/>
      <c r="D105" s="8"/>
      <c r="E105" s="123"/>
      <c r="F105" s="5"/>
      <c r="G105" s="5"/>
      <c r="H105" s="5"/>
      <c r="I105" s="5"/>
      <c r="J105" s="5"/>
      <c r="K105" s="5"/>
      <c r="L105" s="5"/>
      <c r="M105" s="122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107"/>
      <c r="AK105" s="107"/>
      <c r="AL105" s="107"/>
      <c r="AM105" s="107"/>
      <c r="AN105" s="107"/>
      <c r="AO105" s="107"/>
      <c r="AP105" s="107"/>
      <c r="AQ105" s="107"/>
      <c r="AR105" s="5"/>
      <c r="AS105" s="5"/>
    </row>
    <row r="106" spans="1:45" ht="15.75" customHeight="1" x14ac:dyDescent="0.25">
      <c r="A106" s="107"/>
      <c r="B106" s="8"/>
      <c r="C106" s="8"/>
      <c r="D106" s="8"/>
      <c r="F106" s="5"/>
      <c r="G106" s="5"/>
      <c r="H106" s="5"/>
      <c r="I106" s="5"/>
      <c r="J106" s="5"/>
      <c r="K106" s="5"/>
      <c r="L106" s="5"/>
      <c r="M106" s="1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107"/>
      <c r="AK106" s="107"/>
      <c r="AL106" s="107"/>
      <c r="AM106" s="107"/>
      <c r="AN106" s="107"/>
      <c r="AO106" s="107"/>
      <c r="AP106" s="107"/>
      <c r="AQ106" s="107"/>
      <c r="AR106" s="5"/>
      <c r="AS106" s="5"/>
    </row>
    <row r="107" spans="1:45" ht="15.75" customHeight="1" x14ac:dyDescent="0.25">
      <c r="A107" s="107"/>
      <c r="B107" s="8"/>
      <c r="C107" s="8"/>
      <c r="D107" s="8"/>
      <c r="E107" s="5"/>
      <c r="F107" s="5"/>
      <c r="G107" s="5"/>
      <c r="H107" s="5"/>
      <c r="I107" s="5"/>
      <c r="J107" s="5"/>
      <c r="K107" s="5"/>
      <c r="L107" s="5"/>
      <c r="M107" s="122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107"/>
      <c r="AK107" s="107"/>
      <c r="AL107" s="107"/>
      <c r="AM107" s="107"/>
      <c r="AN107" s="107"/>
      <c r="AO107" s="107"/>
      <c r="AP107" s="107"/>
      <c r="AQ107" s="107"/>
      <c r="AR107" s="5"/>
      <c r="AS107" s="5"/>
    </row>
    <row r="108" spans="1:45" ht="15.75" customHeight="1" x14ac:dyDescent="0.25">
      <c r="A108" s="107"/>
      <c r="B108" s="8"/>
      <c r="C108" s="8"/>
      <c r="D108" s="8"/>
      <c r="E108" s="5"/>
      <c r="F108" s="5"/>
      <c r="G108" s="5"/>
      <c r="H108" s="5"/>
      <c r="I108" s="5"/>
      <c r="J108" s="5"/>
      <c r="K108" s="5"/>
      <c r="L108" s="5"/>
      <c r="M108" s="1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107"/>
      <c r="AK108" s="107"/>
      <c r="AL108" s="107"/>
      <c r="AM108" s="107"/>
      <c r="AN108" s="107"/>
      <c r="AO108" s="107"/>
      <c r="AP108" s="107"/>
      <c r="AQ108" s="107"/>
      <c r="AR108" s="5"/>
      <c r="AS108" s="5"/>
    </row>
    <row r="109" spans="1:45" ht="15.75" customHeight="1" x14ac:dyDescent="0.25">
      <c r="A109" s="107"/>
      <c r="B109" s="8"/>
      <c r="C109" s="8"/>
      <c r="D109" s="8"/>
      <c r="E109" s="5"/>
      <c r="F109" s="5"/>
      <c r="G109" s="5"/>
      <c r="H109" s="5"/>
      <c r="I109" s="5"/>
      <c r="J109" s="5"/>
      <c r="K109" s="5"/>
      <c r="L109" s="5"/>
      <c r="M109" s="1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107"/>
      <c r="AK109" s="107"/>
      <c r="AL109" s="107"/>
      <c r="AM109" s="107"/>
      <c r="AN109" s="107"/>
      <c r="AO109" s="107"/>
      <c r="AP109" s="107"/>
      <c r="AQ109" s="107"/>
      <c r="AR109" s="5"/>
      <c r="AS109" s="5"/>
    </row>
    <row r="110" spans="1:45" ht="15.75" customHeight="1" x14ac:dyDescent="0.25">
      <c r="A110" s="107"/>
      <c r="B110" s="8"/>
      <c r="C110" s="8"/>
      <c r="D110" s="8"/>
      <c r="E110" s="400"/>
      <c r="F110" s="400"/>
      <c r="G110" s="400"/>
      <c r="H110" s="400"/>
      <c r="I110" s="14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107"/>
      <c r="AK110" s="107"/>
      <c r="AL110" s="107"/>
      <c r="AM110" s="107"/>
      <c r="AN110" s="107"/>
      <c r="AO110" s="107"/>
      <c r="AP110" s="107"/>
      <c r="AQ110" s="107"/>
      <c r="AR110" s="5"/>
      <c r="AS110" s="5"/>
    </row>
    <row r="111" spans="1:45" ht="15.75" customHeight="1" x14ac:dyDescent="0.25">
      <c r="A111" s="107"/>
      <c r="B111" s="8"/>
      <c r="C111" s="8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107"/>
      <c r="AK111" s="107"/>
      <c r="AL111" s="107"/>
      <c r="AM111" s="107"/>
      <c r="AN111" s="107"/>
      <c r="AO111" s="107"/>
      <c r="AP111" s="107"/>
      <c r="AQ111" s="107"/>
      <c r="AR111" s="5"/>
      <c r="AS111" s="5"/>
    </row>
    <row r="112" spans="1:45" ht="15.75" customHeight="1" x14ac:dyDescent="0.25">
      <c r="A112" s="107"/>
      <c r="B112" s="108"/>
      <c r="C112" s="108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107"/>
      <c r="AK112" s="107"/>
      <c r="AL112" s="107"/>
      <c r="AM112" s="107"/>
      <c r="AN112" s="107"/>
      <c r="AO112" s="107"/>
      <c r="AP112" s="107"/>
      <c r="AQ112" s="107"/>
      <c r="AR112" s="5"/>
      <c r="AS112" s="5"/>
    </row>
    <row r="113" spans="1:45" ht="15.75" customHeight="1" x14ac:dyDescent="0.25">
      <c r="A113" s="107"/>
      <c r="B113" s="124"/>
      <c r="C113" s="124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107"/>
      <c r="AK113" s="107"/>
      <c r="AL113" s="107"/>
      <c r="AM113" s="107"/>
      <c r="AN113" s="107"/>
      <c r="AO113" s="107"/>
      <c r="AP113" s="107"/>
      <c r="AQ113" s="107"/>
      <c r="AR113" s="5"/>
      <c r="AS113" s="5"/>
    </row>
    <row r="114" spans="1:45" ht="15.75" customHeight="1" x14ac:dyDescent="0.25">
      <c r="A114" s="125"/>
      <c r="B114" s="126"/>
      <c r="C114" s="8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107"/>
      <c r="AK114" s="107"/>
      <c r="AL114" s="107"/>
      <c r="AM114" s="107"/>
      <c r="AN114" s="107"/>
      <c r="AO114" s="107"/>
      <c r="AP114" s="107"/>
      <c r="AQ114" s="107"/>
      <c r="AR114" s="5"/>
      <c r="AS114" s="5"/>
    </row>
    <row r="115" spans="1:45" ht="15.75" customHeight="1" x14ac:dyDescent="0.25">
      <c r="A115" s="125"/>
      <c r="B115" s="108"/>
      <c r="C115" s="8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107"/>
      <c r="AK115" s="107"/>
      <c r="AL115" s="107"/>
      <c r="AM115" s="107"/>
      <c r="AN115" s="107"/>
      <c r="AO115" s="107"/>
      <c r="AP115" s="107"/>
      <c r="AQ115" s="107"/>
      <c r="AR115" s="5"/>
      <c r="AS115" s="5"/>
    </row>
    <row r="116" spans="1:45" ht="15.75" customHeight="1" x14ac:dyDescent="0.25">
      <c r="A116" s="125"/>
      <c r="B116" s="8"/>
      <c r="C116" s="8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107"/>
      <c r="AK116" s="107"/>
      <c r="AL116" s="107"/>
      <c r="AM116" s="107"/>
      <c r="AN116" s="107"/>
      <c r="AO116" s="107"/>
      <c r="AP116" s="107"/>
      <c r="AQ116" s="107"/>
      <c r="AR116" s="5"/>
      <c r="AS116" s="5"/>
    </row>
    <row r="117" spans="1:45" ht="15.75" customHeight="1" x14ac:dyDescent="0.25">
      <c r="A117" s="125"/>
      <c r="B117" s="108"/>
      <c r="C117" s="8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107"/>
      <c r="AK117" s="107"/>
      <c r="AL117" s="107"/>
      <c r="AM117" s="107"/>
      <c r="AN117" s="107"/>
      <c r="AO117" s="107"/>
      <c r="AP117" s="107"/>
      <c r="AQ117" s="107"/>
      <c r="AR117" s="5"/>
      <c r="AS117" s="5"/>
    </row>
    <row r="118" spans="1:45" ht="15.75" customHeight="1" x14ac:dyDescent="0.25">
      <c r="A118" s="125"/>
      <c r="B118" s="8"/>
      <c r="C118" s="8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107"/>
      <c r="AK118" s="107"/>
      <c r="AL118" s="107"/>
      <c r="AM118" s="107"/>
      <c r="AN118" s="107"/>
      <c r="AO118" s="107"/>
      <c r="AP118" s="107"/>
      <c r="AQ118" s="107"/>
      <c r="AR118" s="5"/>
      <c r="AS118" s="5"/>
    </row>
    <row r="119" spans="1:45" ht="15.75" customHeight="1" x14ac:dyDescent="0.25">
      <c r="A119" s="125"/>
      <c r="B119" s="8"/>
      <c r="C119" s="8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107"/>
      <c r="AK119" s="107"/>
      <c r="AL119" s="107"/>
      <c r="AM119" s="107"/>
      <c r="AN119" s="107"/>
      <c r="AO119" s="107"/>
      <c r="AP119" s="107"/>
      <c r="AQ119" s="107"/>
      <c r="AR119" s="5"/>
      <c r="AS119" s="5"/>
    </row>
    <row r="120" spans="1:45" ht="15.75" customHeight="1" x14ac:dyDescent="0.25">
      <c r="A120" s="125"/>
      <c r="B120" s="125"/>
      <c r="C120" s="8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107"/>
      <c r="AK120" s="107"/>
      <c r="AL120" s="107"/>
      <c r="AM120" s="107"/>
      <c r="AN120" s="107"/>
      <c r="AO120" s="107"/>
      <c r="AP120" s="107"/>
      <c r="AQ120" s="107"/>
      <c r="AR120" s="5"/>
      <c r="AS120" s="5"/>
    </row>
    <row r="121" spans="1:45" ht="15.75" customHeight="1" x14ac:dyDescent="0.25">
      <c r="A121" s="107"/>
      <c r="B121" s="8"/>
      <c r="C121" s="8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107"/>
      <c r="AK121" s="107"/>
      <c r="AL121" s="107"/>
      <c r="AM121" s="107"/>
      <c r="AN121" s="107"/>
      <c r="AO121" s="107"/>
      <c r="AP121" s="107"/>
      <c r="AQ121" s="107"/>
      <c r="AR121" s="5"/>
      <c r="AS121" s="5"/>
    </row>
    <row r="122" spans="1:45" ht="15.75" customHeight="1" x14ac:dyDescent="0.25">
      <c r="A122" s="107"/>
      <c r="B122" s="8"/>
      <c r="C122" s="8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107"/>
      <c r="AK122" s="107"/>
      <c r="AL122" s="107"/>
      <c r="AM122" s="107"/>
      <c r="AN122" s="107"/>
      <c r="AO122" s="107"/>
      <c r="AP122" s="107"/>
      <c r="AQ122" s="107"/>
      <c r="AR122" s="5"/>
      <c r="AS122" s="5"/>
    </row>
    <row r="123" spans="1:45" ht="15.75" customHeight="1" x14ac:dyDescent="0.25">
      <c r="A123" s="107"/>
      <c r="B123" s="8"/>
      <c r="C123" s="8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107"/>
      <c r="AK123" s="107"/>
      <c r="AL123" s="107"/>
      <c r="AM123" s="107"/>
      <c r="AN123" s="107"/>
      <c r="AO123" s="107"/>
      <c r="AP123" s="107"/>
      <c r="AQ123" s="107"/>
      <c r="AR123" s="5"/>
      <c r="AS123" s="5"/>
    </row>
    <row r="124" spans="1:45" ht="15.75" customHeight="1" x14ac:dyDescent="0.25">
      <c r="A124" s="107"/>
      <c r="B124" s="8"/>
      <c r="C124" s="8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107"/>
      <c r="AK124" s="107"/>
      <c r="AL124" s="107"/>
      <c r="AM124" s="107"/>
      <c r="AN124" s="107"/>
      <c r="AO124" s="107"/>
      <c r="AP124" s="107"/>
      <c r="AQ124" s="107"/>
      <c r="AR124" s="5"/>
      <c r="AS124" s="5"/>
    </row>
    <row r="125" spans="1:45" ht="15.75" customHeight="1" x14ac:dyDescent="0.25">
      <c r="A125" s="107"/>
      <c r="B125" s="8"/>
      <c r="C125" s="8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107"/>
      <c r="AK125" s="107"/>
      <c r="AL125" s="107"/>
      <c r="AM125" s="107"/>
      <c r="AN125" s="107"/>
      <c r="AO125" s="107"/>
      <c r="AP125" s="107"/>
      <c r="AQ125" s="107"/>
      <c r="AR125" s="5"/>
      <c r="AS125" s="5"/>
    </row>
    <row r="126" spans="1:45" ht="15.75" customHeight="1" x14ac:dyDescent="0.25">
      <c r="A126" s="107"/>
      <c r="B126" s="8"/>
      <c r="C126" s="8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107"/>
      <c r="AK126" s="107"/>
      <c r="AL126" s="107"/>
      <c r="AM126" s="107"/>
      <c r="AN126" s="107"/>
      <c r="AO126" s="107"/>
      <c r="AP126" s="107"/>
      <c r="AQ126" s="107"/>
      <c r="AR126" s="5"/>
      <c r="AS126" s="5"/>
    </row>
    <row r="127" spans="1:45" ht="15.75" customHeight="1" x14ac:dyDescent="0.25">
      <c r="A127" s="107"/>
      <c r="B127" s="8"/>
      <c r="C127" s="8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107"/>
      <c r="AK127" s="107"/>
      <c r="AL127" s="107"/>
      <c r="AM127" s="107"/>
      <c r="AN127" s="107"/>
      <c r="AO127" s="107"/>
      <c r="AP127" s="107"/>
      <c r="AQ127" s="107"/>
      <c r="AR127" s="5"/>
      <c r="AS127" s="5"/>
    </row>
    <row r="128" spans="1:45" ht="15.75" customHeight="1" x14ac:dyDescent="0.25">
      <c r="A128" s="107"/>
      <c r="B128" s="8"/>
      <c r="C128" s="8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107"/>
      <c r="AK128" s="107"/>
      <c r="AL128" s="107"/>
      <c r="AM128" s="107"/>
      <c r="AN128" s="107"/>
      <c r="AO128" s="107"/>
      <c r="AP128" s="107"/>
      <c r="AQ128" s="107"/>
      <c r="AR128" s="5"/>
      <c r="AS128" s="5"/>
    </row>
    <row r="129" spans="1:45" ht="15.75" customHeight="1" x14ac:dyDescent="0.25">
      <c r="A129" s="107"/>
      <c r="B129" s="8"/>
      <c r="C129" s="8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107"/>
      <c r="AK129" s="107"/>
      <c r="AL129" s="107"/>
      <c r="AM129" s="107"/>
      <c r="AN129" s="107"/>
      <c r="AO129" s="107"/>
      <c r="AP129" s="107"/>
      <c r="AQ129" s="107"/>
      <c r="AR129" s="5"/>
      <c r="AS129" s="5"/>
    </row>
    <row r="130" spans="1:45" ht="15.75" customHeight="1" x14ac:dyDescent="0.25">
      <c r="A130" s="107"/>
      <c r="B130" s="8"/>
      <c r="C130" s="8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107"/>
      <c r="AK130" s="107"/>
      <c r="AL130" s="107"/>
      <c r="AM130" s="107"/>
      <c r="AN130" s="107"/>
      <c r="AO130" s="107"/>
      <c r="AP130" s="107"/>
      <c r="AQ130" s="107"/>
      <c r="AR130" s="5"/>
      <c r="AS130" s="5"/>
    </row>
    <row r="131" spans="1:45" ht="15.75" customHeight="1" x14ac:dyDescent="0.25">
      <c r="A131" s="107"/>
      <c r="B131" s="8"/>
      <c r="C131" s="8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107"/>
      <c r="AK131" s="107"/>
      <c r="AL131" s="107"/>
      <c r="AM131" s="107"/>
      <c r="AN131" s="107"/>
      <c r="AO131" s="107"/>
      <c r="AP131" s="107"/>
      <c r="AQ131" s="107"/>
      <c r="AR131" s="5"/>
      <c r="AS131" s="5"/>
    </row>
    <row r="132" spans="1:45" ht="15.75" customHeight="1" x14ac:dyDescent="0.25">
      <c r="A132" s="107"/>
      <c r="B132" s="8"/>
      <c r="C132" s="8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107"/>
      <c r="AK132" s="107"/>
      <c r="AL132" s="107"/>
      <c r="AM132" s="107"/>
      <c r="AN132" s="107"/>
      <c r="AO132" s="107"/>
      <c r="AP132" s="107"/>
      <c r="AQ132" s="107"/>
      <c r="AR132" s="5"/>
      <c r="AS132" s="5"/>
    </row>
    <row r="133" spans="1:45" ht="15.75" customHeight="1" x14ac:dyDescent="0.25">
      <c r="A133" s="107"/>
      <c r="B133" s="8"/>
      <c r="C133" s="8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107"/>
      <c r="AK133" s="107"/>
      <c r="AL133" s="107"/>
      <c r="AM133" s="107"/>
      <c r="AN133" s="107"/>
      <c r="AO133" s="107"/>
      <c r="AP133" s="107"/>
      <c r="AQ133" s="107"/>
      <c r="AR133" s="5"/>
      <c r="AS133" s="5"/>
    </row>
    <row r="134" spans="1:45" ht="15.75" customHeight="1" x14ac:dyDescent="0.25">
      <c r="A134" s="107"/>
      <c r="B134" s="8"/>
      <c r="C134" s="8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107"/>
      <c r="AK134" s="107"/>
      <c r="AL134" s="107"/>
      <c r="AM134" s="107"/>
      <c r="AN134" s="107"/>
      <c r="AO134" s="107"/>
      <c r="AP134" s="107"/>
      <c r="AQ134" s="107"/>
      <c r="AR134" s="5"/>
      <c r="AS134" s="5"/>
    </row>
    <row r="135" spans="1:45" ht="15.75" customHeight="1" x14ac:dyDescent="0.25">
      <c r="A135" s="107"/>
      <c r="B135" s="8"/>
      <c r="C135" s="8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107"/>
      <c r="AK135" s="107"/>
      <c r="AL135" s="107"/>
      <c r="AM135" s="107"/>
      <c r="AN135" s="107"/>
      <c r="AO135" s="107"/>
      <c r="AP135" s="107"/>
      <c r="AQ135" s="107"/>
      <c r="AR135" s="5"/>
      <c r="AS135" s="5"/>
    </row>
    <row r="136" spans="1:45" ht="15.75" customHeight="1" x14ac:dyDescent="0.25">
      <c r="A136" s="107"/>
      <c r="B136" s="8"/>
      <c r="C136" s="8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107"/>
      <c r="AK136" s="107"/>
      <c r="AL136" s="107"/>
      <c r="AM136" s="107"/>
      <c r="AN136" s="107"/>
      <c r="AO136" s="107"/>
      <c r="AP136" s="107"/>
      <c r="AQ136" s="107"/>
      <c r="AR136" s="5"/>
      <c r="AS136" s="5"/>
    </row>
    <row r="137" spans="1:45" ht="15.75" customHeight="1" x14ac:dyDescent="0.25">
      <c r="A137" s="107"/>
      <c r="B137" s="8"/>
      <c r="C137" s="8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107"/>
      <c r="AK137" s="107"/>
      <c r="AL137" s="107"/>
      <c r="AM137" s="107"/>
      <c r="AN137" s="107"/>
      <c r="AO137" s="107"/>
      <c r="AP137" s="107"/>
      <c r="AQ137" s="107"/>
      <c r="AR137" s="5"/>
      <c r="AS137" s="5"/>
    </row>
    <row r="138" spans="1:45" ht="15.75" customHeight="1" x14ac:dyDescent="0.25">
      <c r="A138" s="107"/>
      <c r="B138" s="8"/>
      <c r="C138" s="8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107"/>
      <c r="AK138" s="107"/>
      <c r="AL138" s="107"/>
      <c r="AM138" s="107"/>
      <c r="AN138" s="107"/>
      <c r="AO138" s="107"/>
      <c r="AP138" s="107"/>
      <c r="AQ138" s="107"/>
      <c r="AR138" s="5"/>
      <c r="AS138" s="5"/>
    </row>
    <row r="139" spans="1:45" ht="15.75" customHeight="1" x14ac:dyDescent="0.25">
      <c r="A139" s="107"/>
      <c r="B139" s="8"/>
      <c r="C139" s="8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107"/>
      <c r="AK139" s="107"/>
      <c r="AL139" s="107"/>
      <c r="AM139" s="107"/>
      <c r="AN139" s="107"/>
      <c r="AO139" s="107"/>
      <c r="AP139" s="107"/>
      <c r="AQ139" s="107"/>
      <c r="AR139" s="5"/>
      <c r="AS139" s="5"/>
    </row>
    <row r="140" spans="1:45" ht="15.75" customHeight="1" x14ac:dyDescent="0.25">
      <c r="A140" s="107"/>
      <c r="B140" s="8"/>
      <c r="C140" s="8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107"/>
      <c r="AK140" s="107"/>
      <c r="AL140" s="107"/>
      <c r="AM140" s="107"/>
      <c r="AN140" s="107"/>
      <c r="AO140" s="107"/>
      <c r="AP140" s="107"/>
      <c r="AQ140" s="107"/>
      <c r="AR140" s="5"/>
      <c r="AS140" s="5"/>
    </row>
    <row r="141" spans="1:45" ht="15.75" customHeight="1" x14ac:dyDescent="0.25">
      <c r="A141" s="107"/>
      <c r="B141" s="8"/>
      <c r="C141" s="8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107"/>
      <c r="AK141" s="107"/>
      <c r="AL141" s="107"/>
      <c r="AM141" s="107"/>
      <c r="AN141" s="107"/>
      <c r="AO141" s="107"/>
      <c r="AP141" s="107"/>
      <c r="AQ141" s="107"/>
      <c r="AR141" s="5"/>
      <c r="AS141" s="5"/>
    </row>
    <row r="142" spans="1:45" ht="15.75" customHeight="1" x14ac:dyDescent="0.25">
      <c r="A142" s="107"/>
      <c r="B142" s="8"/>
      <c r="C142" s="8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107"/>
      <c r="AK142" s="107"/>
      <c r="AL142" s="107"/>
      <c r="AM142" s="107"/>
      <c r="AN142" s="107"/>
      <c r="AO142" s="107"/>
      <c r="AP142" s="107"/>
      <c r="AQ142" s="107"/>
      <c r="AR142" s="5"/>
      <c r="AS142" s="5"/>
    </row>
    <row r="143" spans="1:45" ht="15.75" customHeight="1" x14ac:dyDescent="0.25">
      <c r="A143" s="107"/>
      <c r="B143" s="8"/>
      <c r="C143" s="8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107"/>
      <c r="AK143" s="107"/>
      <c r="AL143" s="107"/>
      <c r="AM143" s="107"/>
      <c r="AN143" s="107"/>
      <c r="AO143" s="107"/>
      <c r="AP143" s="107"/>
      <c r="AQ143" s="107"/>
      <c r="AR143" s="5"/>
      <c r="AS143" s="5"/>
    </row>
    <row r="144" spans="1:45" ht="15.75" customHeight="1" x14ac:dyDescent="0.25">
      <c r="A144" s="107"/>
      <c r="B144" s="8"/>
      <c r="C144" s="8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107"/>
      <c r="AK144" s="107"/>
      <c r="AL144" s="107"/>
      <c r="AM144" s="107"/>
      <c r="AN144" s="107"/>
      <c r="AO144" s="107"/>
      <c r="AP144" s="107"/>
      <c r="AQ144" s="107"/>
      <c r="AR144" s="5"/>
      <c r="AS144" s="5"/>
    </row>
    <row r="145" spans="1:45" ht="15.75" customHeight="1" x14ac:dyDescent="0.25">
      <c r="A145" s="107"/>
      <c r="B145" s="8"/>
      <c r="C145" s="8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107"/>
      <c r="AK145" s="107"/>
      <c r="AL145" s="107"/>
      <c r="AM145" s="107"/>
      <c r="AN145" s="107"/>
      <c r="AO145" s="107"/>
      <c r="AP145" s="107"/>
      <c r="AQ145" s="107"/>
      <c r="AR145" s="5"/>
      <c r="AS145" s="5"/>
    </row>
    <row r="146" spans="1:45" ht="15.75" customHeight="1" x14ac:dyDescent="0.25">
      <c r="A146" s="107"/>
      <c r="B146" s="8"/>
      <c r="C146" s="8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107"/>
      <c r="AK146" s="107"/>
      <c r="AL146" s="107"/>
      <c r="AM146" s="107"/>
      <c r="AN146" s="107"/>
      <c r="AO146" s="107"/>
      <c r="AP146" s="107"/>
      <c r="AQ146" s="107"/>
      <c r="AR146" s="5"/>
      <c r="AS146" s="5"/>
    </row>
    <row r="147" spans="1:45" ht="15.75" customHeight="1" x14ac:dyDescent="0.25">
      <c r="A147" s="107"/>
      <c r="B147" s="8"/>
      <c r="C147" s="8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107"/>
      <c r="AK147" s="107"/>
      <c r="AL147" s="107"/>
      <c r="AM147" s="107"/>
      <c r="AN147" s="107"/>
      <c r="AO147" s="107"/>
      <c r="AP147" s="107"/>
      <c r="AQ147" s="107"/>
      <c r="AR147" s="5"/>
      <c r="AS147" s="5"/>
    </row>
    <row r="148" spans="1:45" ht="15.75" customHeight="1" x14ac:dyDescent="0.25">
      <c r="A148" s="107"/>
      <c r="B148" s="8"/>
      <c r="C148" s="8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107"/>
      <c r="AK148" s="107"/>
      <c r="AL148" s="107"/>
      <c r="AM148" s="107"/>
      <c r="AN148" s="107"/>
      <c r="AO148" s="107"/>
      <c r="AP148" s="107"/>
      <c r="AQ148" s="107"/>
      <c r="AR148" s="5"/>
      <c r="AS148" s="5"/>
    </row>
    <row r="149" spans="1:45" ht="15.75" customHeight="1" x14ac:dyDescent="0.25">
      <c r="A149" s="107"/>
      <c r="B149" s="8"/>
      <c r="C149" s="8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107"/>
      <c r="AK149" s="107"/>
      <c r="AL149" s="107"/>
      <c r="AM149" s="107"/>
      <c r="AN149" s="107"/>
      <c r="AO149" s="107"/>
      <c r="AP149" s="107"/>
      <c r="AQ149" s="107"/>
      <c r="AR149" s="5"/>
      <c r="AS149" s="5"/>
    </row>
    <row r="150" spans="1:45" ht="15.75" customHeight="1" x14ac:dyDescent="0.25">
      <c r="A150" s="107"/>
      <c r="B150" s="8"/>
      <c r="C150" s="8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107"/>
      <c r="AK150" s="107"/>
      <c r="AL150" s="107"/>
      <c r="AM150" s="107"/>
      <c r="AN150" s="107"/>
      <c r="AO150" s="107"/>
      <c r="AP150" s="107"/>
      <c r="AQ150" s="107"/>
      <c r="AR150" s="5"/>
      <c r="AS150" s="5"/>
    </row>
    <row r="151" spans="1:45" ht="15.75" customHeight="1" x14ac:dyDescent="0.25">
      <c r="A151" s="107"/>
      <c r="B151" s="8"/>
      <c r="C151" s="8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107"/>
      <c r="AK151" s="107"/>
      <c r="AL151" s="107"/>
      <c r="AM151" s="107"/>
      <c r="AN151" s="107"/>
      <c r="AO151" s="107"/>
      <c r="AP151" s="107"/>
      <c r="AQ151" s="107"/>
      <c r="AR151" s="5"/>
      <c r="AS151" s="5"/>
    </row>
    <row r="152" spans="1:45" ht="15.75" customHeight="1" x14ac:dyDescent="0.25">
      <c r="A152" s="107"/>
      <c r="B152" s="8"/>
      <c r="C152" s="8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107"/>
      <c r="AK152" s="107"/>
      <c r="AL152" s="107"/>
      <c r="AM152" s="107"/>
      <c r="AN152" s="107"/>
      <c r="AO152" s="107"/>
      <c r="AP152" s="107"/>
      <c r="AQ152" s="107"/>
      <c r="AR152" s="5"/>
      <c r="AS152" s="5"/>
    </row>
    <row r="153" spans="1:45" ht="15.75" customHeight="1" x14ac:dyDescent="0.25">
      <c r="A153" s="107"/>
      <c r="B153" s="8"/>
      <c r="C153" s="8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107"/>
      <c r="AK153" s="107"/>
      <c r="AL153" s="107"/>
      <c r="AM153" s="107"/>
      <c r="AN153" s="107"/>
      <c r="AO153" s="107"/>
      <c r="AP153" s="107"/>
      <c r="AQ153" s="107"/>
      <c r="AR153" s="5"/>
      <c r="AS153" s="5"/>
    </row>
    <row r="154" spans="1:45" ht="15.75" customHeight="1" x14ac:dyDescent="0.25">
      <c r="A154" s="107"/>
      <c r="B154" s="8"/>
      <c r="C154" s="8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107"/>
      <c r="AK154" s="107"/>
      <c r="AL154" s="107"/>
      <c r="AM154" s="107"/>
      <c r="AN154" s="107"/>
      <c r="AO154" s="107"/>
      <c r="AP154" s="107"/>
      <c r="AQ154" s="107"/>
      <c r="AR154" s="5"/>
      <c r="AS154" s="5"/>
    </row>
    <row r="155" spans="1:45" ht="15.75" customHeight="1" x14ac:dyDescent="0.25">
      <c r="A155" s="107"/>
      <c r="B155" s="8"/>
      <c r="C155" s="8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107"/>
      <c r="AK155" s="107"/>
      <c r="AL155" s="107"/>
      <c r="AM155" s="107"/>
      <c r="AN155" s="107"/>
      <c r="AO155" s="107"/>
      <c r="AP155" s="107"/>
      <c r="AQ155" s="107"/>
      <c r="AR155" s="5"/>
      <c r="AS155" s="5"/>
    </row>
    <row r="156" spans="1:45" ht="15.75" customHeight="1" x14ac:dyDescent="0.25">
      <c r="A156" s="107"/>
      <c r="B156" s="8"/>
      <c r="C156" s="8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107"/>
      <c r="AK156" s="107"/>
      <c r="AL156" s="107"/>
      <c r="AM156" s="107"/>
      <c r="AN156" s="107"/>
      <c r="AO156" s="107"/>
      <c r="AP156" s="107"/>
      <c r="AQ156" s="107"/>
      <c r="AR156" s="5"/>
      <c r="AS156" s="5"/>
    </row>
    <row r="157" spans="1:45" ht="15.75" customHeight="1" x14ac:dyDescent="0.25">
      <c r="A157" s="107"/>
      <c r="B157" s="8"/>
      <c r="C157" s="8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107"/>
      <c r="AK157" s="107"/>
      <c r="AL157" s="107"/>
      <c r="AM157" s="107"/>
      <c r="AN157" s="107"/>
      <c r="AO157" s="107"/>
      <c r="AP157" s="107"/>
      <c r="AQ157" s="107"/>
      <c r="AR157" s="5"/>
      <c r="AS157" s="5"/>
    </row>
    <row r="158" spans="1:45" ht="15.75" customHeight="1" x14ac:dyDescent="0.25">
      <c r="A158" s="107"/>
      <c r="B158" s="8"/>
      <c r="C158" s="8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107"/>
      <c r="AK158" s="107"/>
      <c r="AL158" s="107"/>
      <c r="AM158" s="107"/>
      <c r="AN158" s="107"/>
      <c r="AO158" s="107"/>
      <c r="AP158" s="107"/>
      <c r="AQ158" s="107"/>
      <c r="AR158" s="5"/>
      <c r="AS158" s="5"/>
    </row>
    <row r="159" spans="1:45" ht="15.75" customHeight="1" x14ac:dyDescent="0.25">
      <c r="A159" s="107"/>
      <c r="B159" s="8"/>
      <c r="C159" s="8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107"/>
      <c r="AK159" s="107"/>
      <c r="AL159" s="107"/>
      <c r="AM159" s="107"/>
      <c r="AN159" s="107"/>
      <c r="AO159" s="107"/>
      <c r="AP159" s="107"/>
      <c r="AQ159" s="107"/>
      <c r="AR159" s="5"/>
      <c r="AS159" s="5"/>
    </row>
    <row r="160" spans="1:45" ht="15.75" customHeight="1" x14ac:dyDescent="0.25">
      <c r="A160" s="107"/>
      <c r="B160" s="8"/>
      <c r="C160" s="8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107"/>
      <c r="AK160" s="107"/>
      <c r="AL160" s="107"/>
      <c r="AM160" s="107"/>
      <c r="AN160" s="107"/>
      <c r="AO160" s="107"/>
      <c r="AP160" s="107"/>
      <c r="AQ160" s="107"/>
      <c r="AR160" s="5"/>
      <c r="AS160" s="5"/>
    </row>
    <row r="161" spans="1:45" ht="15.75" customHeight="1" x14ac:dyDescent="0.25">
      <c r="A161" s="107"/>
      <c r="B161" s="8"/>
      <c r="C161" s="8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107"/>
      <c r="AK161" s="107"/>
      <c r="AL161" s="107"/>
      <c r="AM161" s="107"/>
      <c r="AN161" s="107"/>
      <c r="AO161" s="107"/>
      <c r="AP161" s="107"/>
      <c r="AQ161" s="107"/>
      <c r="AR161" s="5"/>
      <c r="AS161" s="5"/>
    </row>
    <row r="162" spans="1:45" ht="15.75" customHeight="1" x14ac:dyDescent="0.25">
      <c r="A162" s="107"/>
      <c r="B162" s="8"/>
      <c r="C162" s="8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107"/>
      <c r="AK162" s="107"/>
      <c r="AL162" s="107"/>
      <c r="AM162" s="107"/>
      <c r="AN162" s="107"/>
      <c r="AO162" s="107"/>
      <c r="AP162" s="107"/>
      <c r="AQ162" s="107"/>
      <c r="AR162" s="5"/>
      <c r="AS162" s="5"/>
    </row>
    <row r="163" spans="1:45" ht="15.75" customHeight="1" x14ac:dyDescent="0.25">
      <c r="A163" s="107"/>
      <c r="B163" s="8"/>
      <c r="C163" s="8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107"/>
      <c r="AK163" s="107"/>
      <c r="AL163" s="107"/>
      <c r="AM163" s="107"/>
      <c r="AN163" s="107"/>
      <c r="AO163" s="107"/>
      <c r="AP163" s="107"/>
      <c r="AQ163" s="107"/>
      <c r="AR163" s="5"/>
      <c r="AS163" s="5"/>
    </row>
    <row r="164" spans="1:45" ht="15.75" customHeight="1" x14ac:dyDescent="0.25">
      <c r="A164" s="107"/>
      <c r="B164" s="8"/>
      <c r="C164" s="8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107"/>
      <c r="AK164" s="107"/>
      <c r="AL164" s="107"/>
      <c r="AM164" s="107"/>
      <c r="AN164" s="107"/>
      <c r="AO164" s="107"/>
      <c r="AP164" s="107"/>
      <c r="AQ164" s="107"/>
      <c r="AR164" s="5"/>
      <c r="AS164" s="5"/>
    </row>
    <row r="165" spans="1:45" ht="15.75" customHeight="1" x14ac:dyDescent="0.25">
      <c r="A165" s="107"/>
      <c r="B165" s="8"/>
      <c r="C165" s="8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107"/>
      <c r="AK165" s="107"/>
      <c r="AL165" s="107"/>
      <c r="AM165" s="107"/>
      <c r="AN165" s="107"/>
      <c r="AO165" s="107"/>
      <c r="AP165" s="107"/>
      <c r="AQ165" s="107"/>
      <c r="AR165" s="5"/>
      <c r="AS165" s="5"/>
    </row>
    <row r="166" spans="1:45" ht="15.75" customHeight="1" x14ac:dyDescent="0.25">
      <c r="A166" s="107"/>
      <c r="B166" s="8"/>
      <c r="C166" s="8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107"/>
      <c r="AK166" s="107"/>
      <c r="AL166" s="107"/>
      <c r="AM166" s="107"/>
      <c r="AN166" s="107"/>
      <c r="AO166" s="107"/>
      <c r="AP166" s="107"/>
      <c r="AQ166" s="107"/>
      <c r="AR166" s="5"/>
      <c r="AS166" s="5"/>
    </row>
    <row r="167" spans="1:45" ht="15.75" customHeight="1" x14ac:dyDescent="0.25">
      <c r="A167" s="107"/>
      <c r="B167" s="8"/>
      <c r="C167" s="8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107"/>
      <c r="AK167" s="107"/>
      <c r="AL167" s="107"/>
      <c r="AM167" s="107"/>
      <c r="AN167" s="107"/>
      <c r="AO167" s="107"/>
      <c r="AP167" s="107"/>
      <c r="AQ167" s="107"/>
      <c r="AR167" s="5"/>
      <c r="AS167" s="5"/>
    </row>
    <row r="168" spans="1:45" ht="15.75" customHeight="1" x14ac:dyDescent="0.25">
      <c r="A168" s="107"/>
      <c r="B168" s="8"/>
      <c r="C168" s="8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107"/>
      <c r="AK168" s="107"/>
      <c r="AL168" s="107"/>
      <c r="AM168" s="107"/>
      <c r="AN168" s="107"/>
      <c r="AO168" s="107"/>
      <c r="AP168" s="107"/>
      <c r="AQ168" s="107"/>
      <c r="AR168" s="5"/>
      <c r="AS168" s="5"/>
    </row>
    <row r="169" spans="1:45" ht="15.75" customHeight="1" x14ac:dyDescent="0.25">
      <c r="A169" s="107"/>
      <c r="B169" s="8"/>
      <c r="C169" s="8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107"/>
      <c r="AK169" s="107"/>
      <c r="AL169" s="107"/>
      <c r="AM169" s="107"/>
      <c r="AN169" s="107"/>
      <c r="AO169" s="107"/>
      <c r="AP169" s="107"/>
      <c r="AQ169" s="107"/>
      <c r="AR169" s="5"/>
      <c r="AS169" s="5"/>
    </row>
    <row r="170" spans="1:45" ht="15.75" customHeight="1" x14ac:dyDescent="0.25">
      <c r="A170" s="107"/>
      <c r="B170" s="8"/>
      <c r="C170" s="8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107"/>
      <c r="AK170" s="107"/>
      <c r="AL170" s="107"/>
      <c r="AM170" s="107"/>
      <c r="AN170" s="107"/>
      <c r="AO170" s="107"/>
      <c r="AP170" s="107"/>
      <c r="AQ170" s="107"/>
      <c r="AR170" s="5"/>
      <c r="AS170" s="5"/>
    </row>
    <row r="171" spans="1:45" ht="15.75" customHeight="1" x14ac:dyDescent="0.25">
      <c r="A171" s="107"/>
      <c r="B171" s="8"/>
      <c r="C171" s="8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107"/>
      <c r="AK171" s="107"/>
      <c r="AL171" s="107"/>
      <c r="AM171" s="107"/>
      <c r="AN171" s="107"/>
      <c r="AO171" s="107"/>
      <c r="AP171" s="107"/>
      <c r="AQ171" s="107"/>
      <c r="AR171" s="5"/>
      <c r="AS171" s="5"/>
    </row>
    <row r="172" spans="1:45" ht="15.75" customHeight="1" x14ac:dyDescent="0.25">
      <c r="A172" s="107"/>
      <c r="B172" s="8"/>
      <c r="C172" s="8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107"/>
      <c r="AK172" s="107"/>
      <c r="AL172" s="107"/>
      <c r="AM172" s="107"/>
      <c r="AN172" s="107"/>
      <c r="AO172" s="107"/>
      <c r="AP172" s="107"/>
      <c r="AQ172" s="107"/>
      <c r="AR172" s="5"/>
      <c r="AS172" s="5"/>
    </row>
    <row r="173" spans="1:45" ht="15.75" customHeight="1" x14ac:dyDescent="0.25">
      <c r="A173" s="107"/>
      <c r="B173" s="8"/>
      <c r="C173" s="8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107"/>
      <c r="AK173" s="107"/>
      <c r="AL173" s="107"/>
      <c r="AM173" s="107"/>
      <c r="AN173" s="107"/>
      <c r="AO173" s="107"/>
      <c r="AP173" s="107"/>
      <c r="AQ173" s="107"/>
      <c r="AR173" s="5"/>
      <c r="AS173" s="5"/>
    </row>
    <row r="174" spans="1:45" ht="15.75" customHeight="1" x14ac:dyDescent="0.25">
      <c r="A174" s="107"/>
      <c r="B174" s="8"/>
      <c r="C174" s="8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107"/>
      <c r="AK174" s="107"/>
      <c r="AL174" s="107"/>
      <c r="AM174" s="107"/>
      <c r="AN174" s="107"/>
      <c r="AO174" s="107"/>
      <c r="AP174" s="107"/>
      <c r="AQ174" s="107"/>
      <c r="AR174" s="5"/>
      <c r="AS174" s="5"/>
    </row>
    <row r="175" spans="1:45" ht="15.75" customHeight="1" x14ac:dyDescent="0.25">
      <c r="A175" s="107"/>
      <c r="B175" s="8"/>
      <c r="C175" s="8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107"/>
      <c r="AK175" s="107"/>
      <c r="AL175" s="107"/>
      <c r="AM175" s="107"/>
      <c r="AN175" s="107"/>
      <c r="AO175" s="107"/>
      <c r="AP175" s="107"/>
      <c r="AQ175" s="107"/>
      <c r="AR175" s="5"/>
      <c r="AS175" s="5"/>
    </row>
    <row r="176" spans="1:45" ht="15.75" customHeight="1" x14ac:dyDescent="0.25">
      <c r="A176" s="107"/>
      <c r="B176" s="8"/>
      <c r="C176" s="8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107"/>
      <c r="AK176" s="107"/>
      <c r="AL176" s="107"/>
      <c r="AM176" s="107"/>
      <c r="AN176" s="107"/>
      <c r="AO176" s="107"/>
      <c r="AP176" s="107"/>
      <c r="AQ176" s="107"/>
      <c r="AR176" s="5"/>
      <c r="AS176" s="5"/>
    </row>
    <row r="177" spans="1:45" ht="15.75" customHeight="1" x14ac:dyDescent="0.25">
      <c r="A177" s="107"/>
      <c r="B177" s="8"/>
      <c r="C177" s="8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107"/>
      <c r="AK177" s="107"/>
      <c r="AL177" s="107"/>
      <c r="AM177" s="107"/>
      <c r="AN177" s="107"/>
      <c r="AO177" s="107"/>
      <c r="AP177" s="107"/>
      <c r="AQ177" s="107"/>
      <c r="AR177" s="5"/>
      <c r="AS177" s="5"/>
    </row>
    <row r="178" spans="1:45" ht="15.75" customHeight="1" x14ac:dyDescent="0.25">
      <c r="A178" s="107"/>
      <c r="B178" s="8"/>
      <c r="C178" s="8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107"/>
      <c r="AK178" s="107"/>
      <c r="AL178" s="107"/>
      <c r="AM178" s="107"/>
      <c r="AN178" s="107"/>
      <c r="AO178" s="107"/>
      <c r="AP178" s="107"/>
      <c r="AQ178" s="107"/>
      <c r="AR178" s="5"/>
      <c r="AS178" s="5"/>
    </row>
    <row r="179" spans="1:45" ht="15.75" customHeight="1" x14ac:dyDescent="0.25">
      <c r="A179" s="107"/>
      <c r="B179" s="8"/>
      <c r="C179" s="8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107"/>
      <c r="AK179" s="107"/>
      <c r="AL179" s="107"/>
      <c r="AM179" s="107"/>
      <c r="AN179" s="107"/>
      <c r="AO179" s="107"/>
      <c r="AP179" s="107"/>
      <c r="AQ179" s="107"/>
      <c r="AR179" s="5"/>
      <c r="AS179" s="5"/>
    </row>
    <row r="180" spans="1:45" ht="15.75" customHeight="1" x14ac:dyDescent="0.25">
      <c r="A180" s="107"/>
      <c r="B180" s="8"/>
      <c r="C180" s="8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107"/>
      <c r="AK180" s="107"/>
      <c r="AL180" s="107"/>
      <c r="AM180" s="107"/>
      <c r="AN180" s="107"/>
      <c r="AO180" s="107"/>
      <c r="AP180" s="107"/>
      <c r="AQ180" s="107"/>
      <c r="AR180" s="5"/>
      <c r="AS180" s="5"/>
    </row>
    <row r="181" spans="1:45" ht="15.75" customHeight="1" x14ac:dyDescent="0.25">
      <c r="A181" s="107"/>
      <c r="B181" s="8"/>
      <c r="C181" s="8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107"/>
      <c r="AK181" s="107"/>
      <c r="AL181" s="107"/>
      <c r="AM181" s="107"/>
      <c r="AN181" s="107"/>
      <c r="AO181" s="107"/>
      <c r="AP181" s="107"/>
      <c r="AQ181" s="107"/>
      <c r="AR181" s="5"/>
      <c r="AS181" s="5"/>
    </row>
    <row r="182" spans="1:45" ht="15.75" customHeight="1" x14ac:dyDescent="0.25">
      <c r="A182" s="107"/>
      <c r="B182" s="8"/>
      <c r="C182" s="8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107"/>
      <c r="AK182" s="107"/>
      <c r="AL182" s="107"/>
      <c r="AM182" s="107"/>
      <c r="AN182" s="107"/>
      <c r="AO182" s="107"/>
      <c r="AP182" s="107"/>
      <c r="AQ182" s="107"/>
      <c r="AR182" s="5"/>
      <c r="AS182" s="5"/>
    </row>
    <row r="183" spans="1:45" ht="15.75" customHeight="1" x14ac:dyDescent="0.25">
      <c r="A183" s="107"/>
      <c r="B183" s="8"/>
      <c r="C183" s="8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107"/>
      <c r="AK183" s="107"/>
      <c r="AL183" s="107"/>
      <c r="AM183" s="107"/>
      <c r="AN183" s="107"/>
      <c r="AO183" s="107"/>
      <c r="AP183" s="107"/>
      <c r="AQ183" s="107"/>
      <c r="AR183" s="5"/>
      <c r="AS183" s="5"/>
    </row>
    <row r="184" spans="1:45" ht="15.75" customHeight="1" x14ac:dyDescent="0.25">
      <c r="A184" s="107"/>
      <c r="B184" s="8"/>
      <c r="C184" s="8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107"/>
      <c r="AK184" s="107"/>
      <c r="AL184" s="107"/>
      <c r="AM184" s="107"/>
      <c r="AN184" s="107"/>
      <c r="AO184" s="107"/>
      <c r="AP184" s="107"/>
      <c r="AQ184" s="107"/>
      <c r="AR184" s="5"/>
      <c r="AS184" s="5"/>
    </row>
    <row r="185" spans="1:45" ht="15.75" customHeight="1" x14ac:dyDescent="0.25">
      <c r="A185" s="107"/>
      <c r="B185" s="8"/>
      <c r="C185" s="8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107"/>
      <c r="AK185" s="107"/>
      <c r="AL185" s="107"/>
      <c r="AM185" s="107"/>
      <c r="AN185" s="107"/>
      <c r="AO185" s="107"/>
      <c r="AP185" s="107"/>
      <c r="AQ185" s="107"/>
      <c r="AR185" s="5"/>
      <c r="AS185" s="5"/>
    </row>
    <row r="186" spans="1:45" ht="15.75" customHeight="1" x14ac:dyDescent="0.25">
      <c r="A186" s="107"/>
      <c r="B186" s="8"/>
      <c r="C186" s="8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107"/>
      <c r="AK186" s="107"/>
      <c r="AL186" s="107"/>
      <c r="AM186" s="107"/>
      <c r="AN186" s="107"/>
      <c r="AO186" s="107"/>
      <c r="AP186" s="107"/>
      <c r="AQ186" s="107"/>
      <c r="AR186" s="5"/>
      <c r="AS186" s="5"/>
    </row>
    <row r="187" spans="1:45" ht="15.75" customHeight="1" x14ac:dyDescent="0.25">
      <c r="A187" s="107"/>
      <c r="B187" s="8"/>
      <c r="C187" s="8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107"/>
      <c r="AK187" s="107"/>
      <c r="AL187" s="107"/>
      <c r="AM187" s="107"/>
      <c r="AN187" s="107"/>
      <c r="AO187" s="107"/>
      <c r="AP187" s="107"/>
      <c r="AQ187" s="107"/>
      <c r="AR187" s="5"/>
      <c r="AS187" s="5"/>
    </row>
    <row r="188" spans="1:45" ht="15.75" customHeight="1" x14ac:dyDescent="0.25">
      <c r="A188" s="107"/>
      <c r="B188" s="8"/>
      <c r="C188" s="8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107"/>
      <c r="AK188" s="107"/>
      <c r="AL188" s="107"/>
      <c r="AM188" s="107"/>
      <c r="AN188" s="107"/>
      <c r="AO188" s="107"/>
      <c r="AP188" s="107"/>
      <c r="AQ188" s="107"/>
      <c r="AR188" s="5"/>
      <c r="AS188" s="5"/>
    </row>
    <row r="189" spans="1:45" ht="15.75" customHeight="1" x14ac:dyDescent="0.25">
      <c r="A189" s="107"/>
      <c r="B189" s="8"/>
      <c r="C189" s="8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107"/>
      <c r="AK189" s="107"/>
      <c r="AL189" s="107"/>
      <c r="AM189" s="107"/>
      <c r="AN189" s="107"/>
      <c r="AO189" s="107"/>
      <c r="AP189" s="107"/>
      <c r="AQ189" s="107"/>
      <c r="AR189" s="5"/>
      <c r="AS189" s="5"/>
    </row>
    <row r="190" spans="1:45" ht="15.75" customHeight="1" x14ac:dyDescent="0.25">
      <c r="A190" s="107"/>
      <c r="B190" s="8"/>
      <c r="C190" s="8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107"/>
      <c r="AK190" s="107"/>
      <c r="AL190" s="107"/>
      <c r="AM190" s="107"/>
      <c r="AN190" s="107"/>
      <c r="AO190" s="107"/>
      <c r="AP190" s="107"/>
      <c r="AQ190" s="107"/>
      <c r="AR190" s="5"/>
      <c r="AS190" s="5"/>
    </row>
    <row r="191" spans="1:45" ht="15.75" customHeight="1" x14ac:dyDescent="0.25">
      <c r="A191" s="107"/>
      <c r="B191" s="8"/>
      <c r="C191" s="8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107"/>
      <c r="AK191" s="107"/>
      <c r="AL191" s="107"/>
      <c r="AM191" s="107"/>
      <c r="AN191" s="107"/>
      <c r="AO191" s="107"/>
      <c r="AP191" s="107"/>
      <c r="AQ191" s="107"/>
      <c r="AR191" s="5"/>
      <c r="AS191" s="5"/>
    </row>
    <row r="192" spans="1:45" ht="15.75" customHeight="1" x14ac:dyDescent="0.25">
      <c r="A192" s="107"/>
      <c r="B192" s="8"/>
      <c r="C192" s="8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107"/>
      <c r="AK192" s="107"/>
      <c r="AL192" s="107"/>
      <c r="AM192" s="107"/>
      <c r="AN192" s="107"/>
      <c r="AO192" s="107"/>
      <c r="AP192" s="107"/>
      <c r="AQ192" s="107"/>
      <c r="AR192" s="5"/>
      <c r="AS192" s="5"/>
    </row>
    <row r="193" spans="1:45" ht="15.75" customHeight="1" x14ac:dyDescent="0.25">
      <c r="A193" s="107"/>
      <c r="B193" s="8"/>
      <c r="C193" s="8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107"/>
      <c r="AK193" s="107"/>
      <c r="AL193" s="107"/>
      <c r="AM193" s="107"/>
      <c r="AN193" s="107"/>
      <c r="AO193" s="107"/>
      <c r="AP193" s="107"/>
      <c r="AQ193" s="107"/>
      <c r="AR193" s="5"/>
      <c r="AS193" s="5"/>
    </row>
    <row r="194" spans="1:45" ht="15.75" customHeight="1" x14ac:dyDescent="0.25">
      <c r="A194" s="107"/>
      <c r="B194" s="8"/>
      <c r="C194" s="8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107"/>
      <c r="AK194" s="107"/>
      <c r="AL194" s="107"/>
      <c r="AM194" s="107"/>
      <c r="AN194" s="107"/>
      <c r="AO194" s="107"/>
      <c r="AP194" s="107"/>
      <c r="AQ194" s="107"/>
      <c r="AR194" s="5"/>
      <c r="AS194" s="5"/>
    </row>
    <row r="195" spans="1:45" ht="15.75" customHeight="1" x14ac:dyDescent="0.25">
      <c r="A195" s="107"/>
      <c r="B195" s="8"/>
      <c r="C195" s="8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107"/>
      <c r="AK195" s="107"/>
      <c r="AL195" s="107"/>
      <c r="AM195" s="107"/>
      <c r="AN195" s="107"/>
      <c r="AO195" s="107"/>
      <c r="AP195" s="107"/>
      <c r="AQ195" s="107"/>
      <c r="AR195" s="5"/>
      <c r="AS195" s="5"/>
    </row>
    <row r="196" spans="1:45" ht="15.75" customHeight="1" x14ac:dyDescent="0.25">
      <c r="A196" s="107"/>
      <c r="B196" s="8"/>
      <c r="C196" s="8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107"/>
      <c r="AK196" s="107"/>
      <c r="AL196" s="107"/>
      <c r="AM196" s="107"/>
      <c r="AN196" s="107"/>
      <c r="AO196" s="107"/>
      <c r="AP196" s="107"/>
      <c r="AQ196" s="107"/>
      <c r="AR196" s="5"/>
      <c r="AS196" s="5"/>
    </row>
    <row r="197" spans="1:45" ht="15.75" customHeight="1" x14ac:dyDescent="0.25">
      <c r="A197" s="107"/>
      <c r="B197" s="8"/>
      <c r="C197" s="8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107"/>
      <c r="AK197" s="107"/>
      <c r="AL197" s="107"/>
      <c r="AM197" s="107"/>
      <c r="AN197" s="107"/>
      <c r="AO197" s="107"/>
      <c r="AP197" s="107"/>
      <c r="AQ197" s="107"/>
      <c r="AR197" s="5"/>
      <c r="AS197" s="5"/>
    </row>
    <row r="198" spans="1:45" ht="15.75" customHeight="1" x14ac:dyDescent="0.25">
      <c r="A198" s="107"/>
      <c r="B198" s="8"/>
      <c r="C198" s="8"/>
      <c r="D198" s="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107"/>
      <c r="AK198" s="107"/>
      <c r="AL198" s="107"/>
      <c r="AM198" s="107"/>
      <c r="AN198" s="107"/>
      <c r="AO198" s="107"/>
      <c r="AP198" s="107"/>
      <c r="AQ198" s="107"/>
      <c r="AR198" s="5"/>
      <c r="AS198" s="5"/>
    </row>
    <row r="199" spans="1:45" ht="15.75" customHeight="1" x14ac:dyDescent="0.25">
      <c r="A199" s="107"/>
      <c r="B199" s="8"/>
      <c r="C199" s="8"/>
      <c r="D199" s="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107"/>
      <c r="AK199" s="107"/>
      <c r="AL199" s="107"/>
      <c r="AM199" s="107"/>
      <c r="AN199" s="107"/>
      <c r="AO199" s="107"/>
      <c r="AP199" s="107"/>
      <c r="AQ199" s="107"/>
      <c r="AR199" s="5"/>
      <c r="AS199" s="5"/>
    </row>
    <row r="200" spans="1:45" ht="15.75" customHeight="1" x14ac:dyDescent="0.25">
      <c r="A200" s="107"/>
      <c r="B200" s="8"/>
      <c r="C200" s="8"/>
      <c r="D200" s="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107"/>
      <c r="AK200" s="107"/>
      <c r="AL200" s="107"/>
      <c r="AM200" s="107"/>
      <c r="AN200" s="107"/>
      <c r="AO200" s="107"/>
      <c r="AP200" s="107"/>
      <c r="AQ200" s="107"/>
      <c r="AR200" s="5"/>
      <c r="AS200" s="5"/>
    </row>
    <row r="201" spans="1:45" ht="15.75" customHeight="1" x14ac:dyDescent="0.25">
      <c r="A201" s="107"/>
      <c r="B201" s="8"/>
      <c r="C201" s="8"/>
      <c r="D201" s="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107"/>
      <c r="AK201" s="107"/>
      <c r="AL201" s="107"/>
      <c r="AM201" s="107"/>
      <c r="AN201" s="107"/>
      <c r="AO201" s="107"/>
      <c r="AP201" s="107"/>
      <c r="AQ201" s="107"/>
      <c r="AR201" s="5"/>
      <c r="AS201" s="5"/>
    </row>
    <row r="202" spans="1:45" ht="15.75" customHeight="1" x14ac:dyDescent="0.25">
      <c r="A202" s="107"/>
      <c r="B202" s="8"/>
      <c r="C202" s="8"/>
      <c r="D202" s="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107"/>
      <c r="AK202" s="107"/>
      <c r="AL202" s="107"/>
      <c r="AM202" s="107"/>
      <c r="AN202" s="107"/>
      <c r="AO202" s="107"/>
      <c r="AP202" s="107"/>
      <c r="AQ202" s="107"/>
      <c r="AR202" s="5"/>
      <c r="AS202" s="5"/>
    </row>
    <row r="203" spans="1:45" ht="15.75" customHeight="1" x14ac:dyDescent="0.25">
      <c r="A203" s="107"/>
      <c r="B203" s="8"/>
      <c r="C203" s="8"/>
      <c r="D203" s="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107"/>
      <c r="AK203" s="107"/>
      <c r="AL203" s="107"/>
      <c r="AM203" s="107"/>
      <c r="AN203" s="107"/>
      <c r="AO203" s="107"/>
      <c r="AP203" s="107"/>
      <c r="AQ203" s="107"/>
      <c r="AR203" s="5"/>
      <c r="AS203" s="5"/>
    </row>
    <row r="204" spans="1:45" ht="15.75" customHeight="1" x14ac:dyDescent="0.25">
      <c r="A204" s="107"/>
      <c r="B204" s="8"/>
      <c r="C204" s="8"/>
      <c r="D204" s="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107"/>
      <c r="AK204" s="107"/>
      <c r="AL204" s="107"/>
      <c r="AM204" s="107"/>
      <c r="AN204" s="107"/>
      <c r="AO204" s="107"/>
      <c r="AP204" s="107"/>
      <c r="AQ204" s="107"/>
      <c r="AR204" s="5"/>
      <c r="AS204" s="5"/>
    </row>
    <row r="205" spans="1:45" ht="15.75" customHeight="1" x14ac:dyDescent="0.25">
      <c r="A205" s="107"/>
      <c r="B205" s="8"/>
      <c r="C205" s="8"/>
      <c r="D205" s="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107"/>
      <c r="AK205" s="107"/>
      <c r="AL205" s="107"/>
      <c r="AM205" s="107"/>
      <c r="AN205" s="107"/>
      <c r="AO205" s="107"/>
      <c r="AP205" s="107"/>
      <c r="AQ205" s="107"/>
      <c r="AR205" s="5"/>
      <c r="AS205" s="5"/>
    </row>
    <row r="206" spans="1:45" ht="15.75" customHeight="1" x14ac:dyDescent="0.25">
      <c r="A206" s="107"/>
      <c r="B206" s="8"/>
      <c r="C206" s="8"/>
      <c r="D206" s="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107"/>
      <c r="AK206" s="107"/>
      <c r="AL206" s="107"/>
      <c r="AM206" s="107"/>
      <c r="AN206" s="107"/>
      <c r="AO206" s="107"/>
      <c r="AP206" s="107"/>
      <c r="AQ206" s="107"/>
      <c r="AR206" s="5"/>
      <c r="AS206" s="5"/>
    </row>
    <row r="207" spans="1:45" ht="15.75" customHeight="1" x14ac:dyDescent="0.25">
      <c r="A207" s="107"/>
      <c r="B207" s="8"/>
      <c r="C207" s="8"/>
      <c r="D207" s="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107"/>
      <c r="AK207" s="107"/>
      <c r="AL207" s="107"/>
      <c r="AM207" s="107"/>
      <c r="AN207" s="107"/>
      <c r="AO207" s="107"/>
      <c r="AP207" s="107"/>
      <c r="AQ207" s="107"/>
      <c r="AR207" s="5"/>
      <c r="AS207" s="5"/>
    </row>
    <row r="208" spans="1:45" ht="15.75" customHeight="1" x14ac:dyDescent="0.25">
      <c r="A208" s="107"/>
      <c r="B208" s="8"/>
      <c r="C208" s="8"/>
      <c r="D208" s="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107"/>
      <c r="AK208" s="107"/>
      <c r="AL208" s="107"/>
      <c r="AM208" s="107"/>
      <c r="AN208" s="107"/>
      <c r="AO208" s="107"/>
      <c r="AP208" s="107"/>
      <c r="AQ208" s="107"/>
      <c r="AR208" s="5"/>
      <c r="AS208" s="5"/>
    </row>
    <row r="209" spans="1:45" ht="15.75" customHeight="1" x14ac:dyDescent="0.25">
      <c r="A209" s="107"/>
      <c r="B209" s="8"/>
      <c r="C209" s="8"/>
      <c r="D209" s="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107"/>
      <c r="AK209" s="107"/>
      <c r="AL209" s="107"/>
      <c r="AM209" s="107"/>
      <c r="AN209" s="107"/>
      <c r="AO209" s="107"/>
      <c r="AP209" s="107"/>
      <c r="AQ209" s="107"/>
      <c r="AR209" s="5"/>
      <c r="AS209" s="5"/>
    </row>
    <row r="210" spans="1:45" ht="15.75" customHeight="1" x14ac:dyDescent="0.25">
      <c r="A210" s="107"/>
      <c r="B210" s="8"/>
      <c r="C210" s="8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107"/>
      <c r="AK210" s="107"/>
      <c r="AL210" s="107"/>
      <c r="AM210" s="107"/>
      <c r="AN210" s="107"/>
      <c r="AO210" s="107"/>
      <c r="AP210" s="107"/>
      <c r="AQ210" s="107"/>
      <c r="AR210" s="5"/>
      <c r="AS210" s="5"/>
    </row>
    <row r="211" spans="1:45" ht="15.75" customHeight="1" x14ac:dyDescent="0.25">
      <c r="A211" s="107"/>
      <c r="B211" s="8"/>
      <c r="C211" s="8"/>
      <c r="D211" s="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107"/>
      <c r="AK211" s="107"/>
      <c r="AL211" s="107"/>
      <c r="AM211" s="107"/>
      <c r="AN211" s="107"/>
      <c r="AO211" s="107"/>
      <c r="AP211" s="107"/>
      <c r="AQ211" s="107"/>
      <c r="AR211" s="5"/>
      <c r="AS211" s="5"/>
    </row>
    <row r="212" spans="1:45" ht="15.75" customHeight="1" x14ac:dyDescent="0.25">
      <c r="A212" s="107"/>
      <c r="B212" s="8"/>
      <c r="C212" s="8"/>
      <c r="D212" s="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107"/>
      <c r="AK212" s="107"/>
      <c r="AL212" s="107"/>
      <c r="AM212" s="107"/>
      <c r="AN212" s="107"/>
      <c r="AO212" s="107"/>
      <c r="AP212" s="107"/>
      <c r="AQ212" s="107"/>
      <c r="AR212" s="5"/>
      <c r="AS212" s="5"/>
    </row>
    <row r="213" spans="1:45" ht="15.75" customHeight="1" x14ac:dyDescent="0.25">
      <c r="A213" s="107"/>
      <c r="B213" s="8"/>
      <c r="C213" s="8"/>
      <c r="D213" s="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107"/>
      <c r="AK213" s="107"/>
      <c r="AL213" s="107"/>
      <c r="AM213" s="107"/>
      <c r="AN213" s="107"/>
      <c r="AO213" s="107"/>
      <c r="AP213" s="107"/>
      <c r="AQ213" s="107"/>
      <c r="AR213" s="5"/>
      <c r="AS213" s="5"/>
    </row>
    <row r="214" spans="1:45" ht="15.75" customHeight="1" x14ac:dyDescent="0.25">
      <c r="A214" s="107"/>
      <c r="B214" s="8"/>
      <c r="C214" s="8"/>
      <c r="D214" s="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107"/>
      <c r="AK214" s="107"/>
      <c r="AL214" s="107"/>
      <c r="AM214" s="107"/>
      <c r="AN214" s="107"/>
      <c r="AO214" s="107"/>
      <c r="AP214" s="107"/>
      <c r="AQ214" s="107"/>
      <c r="AR214" s="5"/>
      <c r="AS214" s="5"/>
    </row>
    <row r="215" spans="1:45" ht="15.75" customHeight="1" x14ac:dyDescent="0.25">
      <c r="A215" s="107"/>
      <c r="B215" s="8"/>
      <c r="C215" s="8"/>
      <c r="D215" s="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107"/>
      <c r="AK215" s="107"/>
      <c r="AL215" s="107"/>
      <c r="AM215" s="107"/>
      <c r="AN215" s="107"/>
      <c r="AO215" s="107"/>
      <c r="AP215" s="107"/>
      <c r="AQ215" s="107"/>
      <c r="AR215" s="5"/>
      <c r="AS215" s="5"/>
    </row>
    <row r="216" spans="1:45" ht="15.75" customHeight="1" x14ac:dyDescent="0.25">
      <c r="A216" s="107"/>
      <c r="B216" s="8"/>
      <c r="C216" s="8"/>
      <c r="D216" s="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107"/>
      <c r="AK216" s="107"/>
      <c r="AL216" s="107"/>
      <c r="AM216" s="107"/>
      <c r="AN216" s="107"/>
      <c r="AO216" s="107"/>
      <c r="AP216" s="107"/>
      <c r="AQ216" s="107"/>
      <c r="AR216" s="5"/>
      <c r="AS216" s="5"/>
    </row>
    <row r="217" spans="1:45" ht="15.75" customHeight="1" x14ac:dyDescent="0.25">
      <c r="A217" s="107"/>
      <c r="B217" s="8"/>
      <c r="C217" s="8"/>
      <c r="D217" s="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107"/>
      <c r="AK217" s="107"/>
      <c r="AL217" s="107"/>
      <c r="AM217" s="107"/>
      <c r="AN217" s="107"/>
      <c r="AO217" s="107"/>
      <c r="AP217" s="107"/>
      <c r="AQ217" s="107"/>
      <c r="AR217" s="5"/>
      <c r="AS217" s="5"/>
    </row>
    <row r="218" spans="1:45" ht="15.75" customHeight="1" x14ac:dyDescent="0.25">
      <c r="A218" s="107"/>
      <c r="B218" s="8"/>
      <c r="C218" s="8"/>
      <c r="D218" s="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107"/>
      <c r="AK218" s="107"/>
      <c r="AL218" s="107"/>
      <c r="AM218" s="107"/>
      <c r="AN218" s="107"/>
      <c r="AO218" s="107"/>
      <c r="AP218" s="107"/>
      <c r="AQ218" s="107"/>
      <c r="AR218" s="5"/>
      <c r="AS218" s="5"/>
    </row>
    <row r="219" spans="1:45" ht="15.75" customHeight="1" x14ac:dyDescent="0.25">
      <c r="A219" s="107"/>
      <c r="B219" s="8"/>
      <c r="C219" s="8"/>
      <c r="D219" s="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107"/>
      <c r="AK219" s="107"/>
      <c r="AL219" s="107"/>
      <c r="AM219" s="107"/>
      <c r="AN219" s="107"/>
      <c r="AO219" s="107"/>
      <c r="AP219" s="107"/>
      <c r="AQ219" s="107"/>
      <c r="AR219" s="5"/>
      <c r="AS219" s="5"/>
    </row>
    <row r="220" spans="1:45" ht="15.75" customHeight="1" x14ac:dyDescent="0.25">
      <c r="A220" s="107"/>
      <c r="B220" s="8"/>
      <c r="C220" s="8"/>
      <c r="D220" s="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107"/>
      <c r="AK220" s="107"/>
      <c r="AL220" s="107"/>
      <c r="AM220" s="107"/>
      <c r="AN220" s="107"/>
      <c r="AO220" s="107"/>
      <c r="AP220" s="107"/>
      <c r="AQ220" s="107"/>
      <c r="AR220" s="5"/>
      <c r="AS220" s="5"/>
    </row>
    <row r="221" spans="1:45" ht="15.75" customHeight="1" x14ac:dyDescent="0.25">
      <c r="A221" s="107"/>
      <c r="B221" s="8"/>
      <c r="C221" s="8"/>
      <c r="D221" s="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107"/>
      <c r="AK221" s="107"/>
      <c r="AL221" s="107"/>
      <c r="AM221" s="107"/>
      <c r="AN221" s="107"/>
      <c r="AO221" s="107"/>
      <c r="AP221" s="107"/>
      <c r="AQ221" s="107"/>
      <c r="AR221" s="5"/>
      <c r="AS221" s="5"/>
    </row>
    <row r="222" spans="1:45" ht="15.75" customHeight="1" x14ac:dyDescent="0.25">
      <c r="A222" s="107"/>
      <c r="B222" s="8"/>
      <c r="C222" s="8"/>
      <c r="D222" s="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107"/>
      <c r="AK222" s="107"/>
      <c r="AL222" s="107"/>
      <c r="AM222" s="107"/>
      <c r="AN222" s="107"/>
      <c r="AO222" s="107"/>
      <c r="AP222" s="107"/>
      <c r="AQ222" s="107"/>
      <c r="AR222" s="5"/>
      <c r="AS222" s="5"/>
    </row>
    <row r="223" spans="1:45" ht="15.75" customHeight="1" x14ac:dyDescent="0.25">
      <c r="A223" s="107"/>
      <c r="B223" s="8"/>
      <c r="C223" s="8"/>
      <c r="D223" s="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107"/>
      <c r="AK223" s="107"/>
      <c r="AL223" s="107"/>
      <c r="AM223" s="107"/>
      <c r="AN223" s="107"/>
      <c r="AO223" s="107"/>
      <c r="AP223" s="107"/>
      <c r="AQ223" s="107"/>
      <c r="AR223" s="5"/>
      <c r="AS223" s="5"/>
    </row>
    <row r="224" spans="1:45" ht="15.75" customHeight="1" x14ac:dyDescent="0.25">
      <c r="A224" s="107"/>
      <c r="B224" s="8"/>
      <c r="C224" s="8"/>
      <c r="D224" s="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107"/>
      <c r="AK224" s="107"/>
      <c r="AL224" s="107"/>
      <c r="AM224" s="107"/>
      <c r="AN224" s="107"/>
      <c r="AO224" s="107"/>
      <c r="AP224" s="107"/>
      <c r="AQ224" s="107"/>
      <c r="AR224" s="5"/>
      <c r="AS224" s="5"/>
    </row>
    <row r="225" spans="1:45" ht="15.75" customHeight="1" x14ac:dyDescent="0.25">
      <c r="A225" s="107"/>
      <c r="B225" s="8"/>
      <c r="C225" s="8"/>
      <c r="D225" s="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107"/>
      <c r="AK225" s="107"/>
      <c r="AL225" s="107"/>
      <c r="AM225" s="107"/>
      <c r="AN225" s="107"/>
      <c r="AO225" s="107"/>
      <c r="AP225" s="107"/>
      <c r="AQ225" s="107"/>
      <c r="AR225" s="5"/>
      <c r="AS225" s="5"/>
    </row>
    <row r="226" spans="1:45" ht="15.75" customHeight="1" x14ac:dyDescent="0.25">
      <c r="A226" s="107"/>
      <c r="B226" s="8"/>
      <c r="C226" s="8"/>
      <c r="D226" s="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107"/>
      <c r="AK226" s="107"/>
      <c r="AL226" s="107"/>
      <c r="AM226" s="107"/>
      <c r="AN226" s="107"/>
      <c r="AO226" s="107"/>
      <c r="AP226" s="107"/>
      <c r="AQ226" s="107"/>
      <c r="AR226" s="5"/>
      <c r="AS226" s="5"/>
    </row>
    <row r="227" spans="1:45" ht="15.75" customHeight="1" x14ac:dyDescent="0.25">
      <c r="A227" s="107"/>
      <c r="B227" s="8"/>
      <c r="C227" s="8"/>
      <c r="D227" s="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107"/>
      <c r="AK227" s="107"/>
      <c r="AL227" s="107"/>
      <c r="AM227" s="107"/>
      <c r="AN227" s="107"/>
      <c r="AO227" s="107"/>
      <c r="AP227" s="107"/>
      <c r="AQ227" s="107"/>
      <c r="AR227" s="5"/>
      <c r="AS227" s="5"/>
    </row>
    <row r="228" spans="1:45" ht="15.75" customHeight="1" x14ac:dyDescent="0.25">
      <c r="A228" s="107"/>
      <c r="B228" s="8"/>
      <c r="C228" s="8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107"/>
      <c r="AK228" s="107"/>
      <c r="AL228" s="107"/>
      <c r="AM228" s="107"/>
      <c r="AN228" s="107"/>
      <c r="AO228" s="107"/>
      <c r="AP228" s="107"/>
      <c r="AQ228" s="107"/>
      <c r="AR228" s="5"/>
      <c r="AS228" s="5"/>
    </row>
    <row r="229" spans="1:45" ht="15.75" customHeight="1" x14ac:dyDescent="0.25">
      <c r="A229" s="107"/>
      <c r="B229" s="8"/>
      <c r="C229" s="8"/>
      <c r="D229" s="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107"/>
      <c r="AK229" s="107"/>
      <c r="AL229" s="107"/>
      <c r="AM229" s="107"/>
      <c r="AN229" s="107"/>
      <c r="AO229" s="107"/>
      <c r="AP229" s="107"/>
      <c r="AQ229" s="107"/>
      <c r="AR229" s="5"/>
      <c r="AS229" s="5"/>
    </row>
    <row r="230" spans="1:45" ht="15.75" customHeight="1" x14ac:dyDescent="0.25">
      <c r="A230" s="107"/>
      <c r="B230" s="8"/>
      <c r="C230" s="8"/>
      <c r="D230" s="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107"/>
      <c r="AK230" s="107"/>
      <c r="AL230" s="107"/>
      <c r="AM230" s="107"/>
      <c r="AN230" s="107"/>
      <c r="AO230" s="107"/>
      <c r="AP230" s="107"/>
      <c r="AQ230" s="107"/>
      <c r="AR230" s="5"/>
      <c r="AS230" s="5"/>
    </row>
    <row r="231" spans="1:45" ht="15.75" customHeight="1" x14ac:dyDescent="0.25">
      <c r="A231" s="107"/>
      <c r="B231" s="8"/>
      <c r="C231" s="8"/>
      <c r="D231" s="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107"/>
      <c r="AK231" s="107"/>
      <c r="AL231" s="107"/>
      <c r="AM231" s="107"/>
      <c r="AN231" s="107"/>
      <c r="AO231" s="107"/>
      <c r="AP231" s="107"/>
      <c r="AQ231" s="107"/>
      <c r="AR231" s="5"/>
      <c r="AS231" s="5"/>
    </row>
    <row r="232" spans="1:45" ht="15.75" customHeight="1" x14ac:dyDescent="0.25">
      <c r="A232" s="107"/>
      <c r="B232" s="8"/>
      <c r="C232" s="8"/>
      <c r="D232" s="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107"/>
      <c r="AK232" s="107"/>
      <c r="AL232" s="107"/>
      <c r="AM232" s="107"/>
      <c r="AN232" s="107"/>
      <c r="AO232" s="107"/>
      <c r="AP232" s="107"/>
      <c r="AQ232" s="107"/>
      <c r="AR232" s="5"/>
      <c r="AS232" s="5"/>
    </row>
    <row r="233" spans="1:45" ht="15.75" customHeight="1" x14ac:dyDescent="0.25">
      <c r="A233" s="107"/>
      <c r="B233" s="8"/>
      <c r="C233" s="8"/>
      <c r="D233" s="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107"/>
      <c r="AK233" s="107"/>
      <c r="AL233" s="107"/>
      <c r="AM233" s="107"/>
      <c r="AN233" s="107"/>
      <c r="AO233" s="107"/>
      <c r="AP233" s="107"/>
      <c r="AQ233" s="107"/>
      <c r="AR233" s="5"/>
      <c r="AS233" s="5"/>
    </row>
    <row r="234" spans="1:45" ht="15.75" customHeight="1" x14ac:dyDescent="0.25">
      <c r="A234" s="107"/>
      <c r="B234" s="8"/>
      <c r="C234" s="8"/>
      <c r="D234" s="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107"/>
      <c r="AK234" s="107"/>
      <c r="AL234" s="107"/>
      <c r="AM234" s="107"/>
      <c r="AN234" s="107"/>
      <c r="AO234" s="107"/>
      <c r="AP234" s="107"/>
      <c r="AQ234" s="107"/>
      <c r="AR234" s="5"/>
      <c r="AS234" s="5"/>
    </row>
    <row r="235" spans="1:45" ht="15.75" customHeight="1" x14ac:dyDescent="0.25">
      <c r="A235" s="107"/>
      <c r="B235" s="8"/>
      <c r="C235" s="8"/>
      <c r="D235" s="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107"/>
      <c r="AK235" s="107"/>
      <c r="AL235" s="107"/>
      <c r="AM235" s="107"/>
      <c r="AN235" s="107"/>
      <c r="AO235" s="107"/>
      <c r="AP235" s="107"/>
      <c r="AQ235" s="107"/>
      <c r="AR235" s="5"/>
      <c r="AS235" s="5"/>
    </row>
    <row r="236" spans="1:45" ht="15.75" customHeight="1" x14ac:dyDescent="0.25">
      <c r="A236" s="107"/>
      <c r="B236" s="8"/>
      <c r="C236" s="8"/>
      <c r="D236" s="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107"/>
      <c r="AK236" s="107"/>
      <c r="AL236" s="107"/>
      <c r="AM236" s="107"/>
      <c r="AN236" s="107"/>
      <c r="AO236" s="107"/>
      <c r="AP236" s="107"/>
      <c r="AQ236" s="107"/>
      <c r="AR236" s="5"/>
      <c r="AS236" s="5"/>
    </row>
    <row r="237" spans="1:45" ht="15.75" customHeight="1" x14ac:dyDescent="0.25">
      <c r="A237" s="107"/>
      <c r="B237" s="8"/>
      <c r="C237" s="8"/>
      <c r="D237" s="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107"/>
      <c r="AK237" s="107"/>
      <c r="AL237" s="107"/>
      <c r="AM237" s="107"/>
      <c r="AN237" s="107"/>
      <c r="AO237" s="107"/>
      <c r="AP237" s="107"/>
      <c r="AQ237" s="107"/>
      <c r="AR237" s="5"/>
      <c r="AS237" s="5"/>
    </row>
    <row r="238" spans="1:45" ht="15.75" customHeight="1" x14ac:dyDescent="0.25">
      <c r="A238" s="107"/>
      <c r="B238" s="8"/>
      <c r="C238" s="8"/>
      <c r="D238" s="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107"/>
      <c r="AK238" s="107"/>
      <c r="AL238" s="107"/>
      <c r="AM238" s="107"/>
      <c r="AN238" s="107"/>
      <c r="AO238" s="107"/>
      <c r="AP238" s="107"/>
      <c r="AQ238" s="107"/>
      <c r="AR238" s="5"/>
      <c r="AS238" s="5"/>
    </row>
    <row r="239" spans="1:45" ht="15.75" customHeight="1" x14ac:dyDescent="0.25">
      <c r="A239" s="107"/>
      <c r="B239" s="8"/>
      <c r="C239" s="8"/>
      <c r="D239" s="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107"/>
      <c r="AK239" s="107"/>
      <c r="AL239" s="107"/>
      <c r="AM239" s="107"/>
      <c r="AN239" s="107"/>
      <c r="AO239" s="107"/>
      <c r="AP239" s="107"/>
      <c r="AQ239" s="107"/>
      <c r="AR239" s="5"/>
      <c r="AS239" s="5"/>
    </row>
    <row r="240" spans="1:45" ht="15.75" customHeight="1" x14ac:dyDescent="0.25">
      <c r="A240" s="107"/>
      <c r="B240" s="8"/>
      <c r="C240" s="8"/>
      <c r="D240" s="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107"/>
      <c r="AK240" s="107"/>
      <c r="AL240" s="107"/>
      <c r="AM240" s="107"/>
      <c r="AN240" s="107"/>
      <c r="AO240" s="107"/>
      <c r="AP240" s="107"/>
      <c r="AQ240" s="107"/>
      <c r="AR240" s="5"/>
      <c r="AS240" s="5"/>
    </row>
    <row r="241" spans="1:45" ht="15.75" customHeight="1" x14ac:dyDescent="0.25">
      <c r="A241" s="107"/>
      <c r="B241" s="8"/>
      <c r="C241" s="8"/>
      <c r="D241" s="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107"/>
      <c r="AK241" s="107"/>
      <c r="AL241" s="107"/>
      <c r="AM241" s="107"/>
      <c r="AN241" s="107"/>
      <c r="AO241" s="107"/>
      <c r="AP241" s="107"/>
      <c r="AQ241" s="107"/>
      <c r="AR241" s="5"/>
      <c r="AS241" s="5"/>
    </row>
    <row r="242" spans="1:45" ht="15.75" customHeight="1" x14ac:dyDescent="0.25">
      <c r="A242" s="107"/>
      <c r="B242" s="8"/>
      <c r="C242" s="8"/>
      <c r="D242" s="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107"/>
      <c r="AK242" s="107"/>
      <c r="AL242" s="107"/>
      <c r="AM242" s="107"/>
      <c r="AN242" s="107"/>
      <c r="AO242" s="107"/>
      <c r="AP242" s="107"/>
      <c r="AQ242" s="107"/>
      <c r="AR242" s="5"/>
      <c r="AS242" s="5"/>
    </row>
    <row r="243" spans="1:45" ht="15.75" customHeight="1" x14ac:dyDescent="0.25">
      <c r="A243" s="107"/>
      <c r="B243" s="8"/>
      <c r="C243" s="8"/>
      <c r="D243" s="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107"/>
      <c r="AK243" s="107"/>
      <c r="AL243" s="107"/>
      <c r="AM243" s="107"/>
      <c r="AN243" s="107"/>
      <c r="AO243" s="107"/>
      <c r="AP243" s="107"/>
      <c r="AQ243" s="107"/>
      <c r="AR243" s="5"/>
      <c r="AS243" s="5"/>
    </row>
    <row r="244" spans="1:45" ht="15.75" customHeight="1" x14ac:dyDescent="0.25">
      <c r="A244" s="107"/>
      <c r="B244" s="8"/>
      <c r="C244" s="8"/>
      <c r="D244" s="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107"/>
      <c r="AK244" s="107"/>
      <c r="AL244" s="107"/>
      <c r="AM244" s="107"/>
      <c r="AN244" s="107"/>
      <c r="AO244" s="107"/>
      <c r="AP244" s="107"/>
      <c r="AQ244" s="107"/>
      <c r="AR244" s="5"/>
      <c r="AS244" s="5"/>
    </row>
    <row r="245" spans="1:45" ht="15.75" customHeight="1" x14ac:dyDescent="0.25">
      <c r="A245" s="107"/>
      <c r="B245" s="8"/>
      <c r="C245" s="8"/>
      <c r="D245" s="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107"/>
      <c r="AK245" s="107"/>
      <c r="AL245" s="107"/>
      <c r="AM245" s="107"/>
      <c r="AN245" s="107"/>
      <c r="AO245" s="107"/>
      <c r="AP245" s="107"/>
      <c r="AQ245" s="107"/>
      <c r="AR245" s="5"/>
      <c r="AS245" s="5"/>
    </row>
    <row r="246" spans="1:45" ht="15.75" customHeight="1" x14ac:dyDescent="0.25">
      <c r="A246" s="107"/>
      <c r="B246" s="8"/>
      <c r="C246" s="8"/>
      <c r="D246" s="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107"/>
      <c r="AK246" s="107"/>
      <c r="AL246" s="107"/>
      <c r="AM246" s="107"/>
      <c r="AN246" s="107"/>
      <c r="AO246" s="107"/>
      <c r="AP246" s="107"/>
      <c r="AQ246" s="107"/>
      <c r="AR246" s="5"/>
      <c r="AS246" s="5"/>
    </row>
    <row r="247" spans="1:45" ht="15.75" customHeight="1" x14ac:dyDescent="0.25">
      <c r="A247" s="107"/>
      <c r="B247" s="8"/>
      <c r="C247" s="8"/>
      <c r="D247" s="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107"/>
      <c r="AK247" s="107"/>
      <c r="AL247" s="107"/>
      <c r="AM247" s="107"/>
      <c r="AN247" s="107"/>
      <c r="AO247" s="107"/>
      <c r="AP247" s="107"/>
      <c r="AQ247" s="107"/>
      <c r="AR247" s="5"/>
      <c r="AS247" s="5"/>
    </row>
    <row r="248" spans="1:45" ht="15.75" customHeight="1" x14ac:dyDescent="0.25">
      <c r="A248" s="107"/>
      <c r="B248" s="8"/>
      <c r="C248" s="8"/>
      <c r="D248" s="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107"/>
      <c r="AK248" s="107"/>
      <c r="AL248" s="107"/>
      <c r="AM248" s="107"/>
      <c r="AN248" s="107"/>
      <c r="AO248" s="107"/>
      <c r="AP248" s="107"/>
      <c r="AQ248" s="107"/>
      <c r="AR248" s="5"/>
      <c r="AS248" s="5"/>
    </row>
    <row r="249" spans="1:45" ht="15.75" customHeight="1" x14ac:dyDescent="0.25">
      <c r="A249" s="107"/>
      <c r="B249" s="8"/>
      <c r="C249" s="8"/>
      <c r="D249" s="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107"/>
      <c r="AK249" s="107"/>
      <c r="AL249" s="107"/>
      <c r="AM249" s="107"/>
      <c r="AN249" s="107"/>
      <c r="AO249" s="107"/>
      <c r="AP249" s="107"/>
      <c r="AQ249" s="107"/>
      <c r="AR249" s="5"/>
      <c r="AS249" s="5"/>
    </row>
    <row r="250" spans="1:45" ht="15.75" customHeight="1" x14ac:dyDescent="0.25">
      <c r="A250" s="107"/>
      <c r="B250" s="8"/>
      <c r="C250" s="8"/>
      <c r="D250" s="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107"/>
      <c r="AK250" s="107"/>
      <c r="AL250" s="107"/>
      <c r="AM250" s="107"/>
      <c r="AN250" s="107"/>
      <c r="AO250" s="107"/>
      <c r="AP250" s="107"/>
      <c r="AQ250" s="107"/>
      <c r="AR250" s="5"/>
      <c r="AS250" s="5"/>
    </row>
    <row r="251" spans="1:45" ht="15.75" customHeight="1" x14ac:dyDescent="0.25">
      <c r="A251" s="107"/>
      <c r="B251" s="8"/>
      <c r="C251" s="8"/>
      <c r="D251" s="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107"/>
      <c r="AK251" s="107"/>
      <c r="AL251" s="107"/>
      <c r="AM251" s="107"/>
      <c r="AN251" s="107"/>
      <c r="AO251" s="107"/>
      <c r="AP251" s="107"/>
      <c r="AQ251" s="107"/>
      <c r="AR251" s="5"/>
      <c r="AS251" s="5"/>
    </row>
    <row r="252" spans="1:45" ht="15.75" customHeight="1" x14ac:dyDescent="0.25">
      <c r="A252" s="107"/>
      <c r="B252" s="8"/>
      <c r="C252" s="8"/>
      <c r="D252" s="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107"/>
      <c r="AK252" s="107"/>
      <c r="AL252" s="107"/>
      <c r="AM252" s="107"/>
      <c r="AN252" s="107"/>
      <c r="AO252" s="107"/>
      <c r="AP252" s="107"/>
      <c r="AQ252" s="107"/>
      <c r="AR252" s="5"/>
      <c r="AS252" s="5"/>
    </row>
    <row r="253" spans="1:45" ht="15.75" customHeight="1" x14ac:dyDescent="0.25">
      <c r="A253" s="107"/>
      <c r="B253" s="8"/>
      <c r="C253" s="8"/>
      <c r="D253" s="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107"/>
      <c r="AK253" s="107"/>
      <c r="AL253" s="107"/>
      <c r="AM253" s="107"/>
      <c r="AN253" s="107"/>
      <c r="AO253" s="107"/>
      <c r="AP253" s="107"/>
      <c r="AQ253" s="107"/>
      <c r="AR253" s="5"/>
      <c r="AS253" s="5"/>
    </row>
    <row r="254" spans="1:45" ht="15.75" customHeight="1" x14ac:dyDescent="0.25">
      <c r="A254" s="107"/>
      <c r="B254" s="8"/>
      <c r="C254" s="8"/>
      <c r="D254" s="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107"/>
      <c r="AK254" s="107"/>
      <c r="AL254" s="107"/>
      <c r="AM254" s="107"/>
      <c r="AN254" s="107"/>
      <c r="AO254" s="107"/>
      <c r="AP254" s="107"/>
      <c r="AQ254" s="107"/>
      <c r="AR254" s="5"/>
      <c r="AS254" s="5"/>
    </row>
    <row r="255" spans="1:45" ht="15.75" customHeight="1" x14ac:dyDescent="0.25">
      <c r="A255" s="107"/>
      <c r="B255" s="8"/>
      <c r="C255" s="8"/>
      <c r="D255" s="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107"/>
      <c r="AK255" s="107"/>
      <c r="AL255" s="107"/>
      <c r="AM255" s="107"/>
      <c r="AN255" s="107"/>
      <c r="AO255" s="107"/>
      <c r="AP255" s="107"/>
      <c r="AQ255" s="107"/>
      <c r="AR255" s="5"/>
      <c r="AS255" s="5"/>
    </row>
    <row r="256" spans="1:45" ht="15.75" customHeight="1" x14ac:dyDescent="0.25">
      <c r="A256" s="107"/>
      <c r="B256" s="8"/>
      <c r="C256" s="8"/>
      <c r="D256" s="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107"/>
      <c r="AK256" s="107"/>
      <c r="AL256" s="107"/>
      <c r="AM256" s="107"/>
      <c r="AN256" s="107"/>
      <c r="AO256" s="107"/>
      <c r="AP256" s="107"/>
      <c r="AQ256" s="107"/>
      <c r="AR256" s="5"/>
      <c r="AS256" s="5"/>
    </row>
    <row r="257" spans="1:45" ht="15.75" customHeight="1" x14ac:dyDescent="0.25">
      <c r="A257" s="107"/>
      <c r="B257" s="8"/>
      <c r="C257" s="8"/>
      <c r="D257" s="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107"/>
      <c r="AK257" s="107"/>
      <c r="AL257" s="107"/>
      <c r="AM257" s="107"/>
      <c r="AN257" s="107"/>
      <c r="AO257" s="107"/>
      <c r="AP257" s="107"/>
      <c r="AQ257" s="107"/>
      <c r="AR257" s="5"/>
      <c r="AS257" s="5"/>
    </row>
    <row r="258" spans="1:45" ht="15.75" customHeight="1" x14ac:dyDescent="0.25">
      <c r="A258" s="107"/>
      <c r="B258" s="8"/>
      <c r="C258" s="8"/>
      <c r="D258" s="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107"/>
      <c r="AK258" s="107"/>
      <c r="AL258" s="107"/>
      <c r="AM258" s="107"/>
      <c r="AN258" s="107"/>
      <c r="AO258" s="107"/>
      <c r="AP258" s="107"/>
      <c r="AQ258" s="107"/>
      <c r="AR258" s="5"/>
      <c r="AS258" s="5"/>
    </row>
    <row r="259" spans="1:45" ht="15.75" customHeight="1" x14ac:dyDescent="0.25">
      <c r="A259" s="107"/>
      <c r="B259" s="8"/>
      <c r="C259" s="8"/>
      <c r="D259" s="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107"/>
      <c r="AK259" s="107"/>
      <c r="AL259" s="107"/>
      <c r="AM259" s="107"/>
      <c r="AN259" s="107"/>
      <c r="AO259" s="107"/>
      <c r="AP259" s="107"/>
      <c r="AQ259" s="107"/>
      <c r="AR259" s="5"/>
      <c r="AS259" s="5"/>
    </row>
    <row r="260" spans="1:45" ht="15.75" customHeight="1" x14ac:dyDescent="0.25">
      <c r="A260" s="107"/>
      <c r="B260" s="8"/>
      <c r="C260" s="8"/>
      <c r="D260" s="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107"/>
      <c r="AK260" s="107"/>
      <c r="AL260" s="107"/>
      <c r="AM260" s="107"/>
      <c r="AN260" s="107"/>
      <c r="AO260" s="107"/>
      <c r="AP260" s="107"/>
      <c r="AQ260" s="107"/>
      <c r="AR260" s="5"/>
      <c r="AS260" s="5"/>
    </row>
    <row r="261" spans="1:45" ht="15.75" customHeight="1" x14ac:dyDescent="0.25">
      <c r="A261" s="107"/>
      <c r="B261" s="8"/>
      <c r="C261" s="8"/>
      <c r="D261" s="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107"/>
      <c r="AK261" s="107"/>
      <c r="AL261" s="107"/>
      <c r="AM261" s="107"/>
      <c r="AN261" s="107"/>
      <c r="AO261" s="107"/>
      <c r="AP261" s="107"/>
      <c r="AQ261" s="107"/>
      <c r="AR261" s="5"/>
      <c r="AS261" s="5"/>
    </row>
    <row r="262" spans="1:45" ht="15.75" customHeight="1" x14ac:dyDescent="0.25">
      <c r="A262" s="107"/>
      <c r="B262" s="8"/>
      <c r="C262" s="8"/>
      <c r="D262" s="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107"/>
      <c r="AK262" s="107"/>
      <c r="AL262" s="107"/>
      <c r="AM262" s="107"/>
      <c r="AN262" s="107"/>
      <c r="AO262" s="107"/>
      <c r="AP262" s="107"/>
      <c r="AQ262" s="107"/>
      <c r="AR262" s="5"/>
      <c r="AS262" s="5"/>
    </row>
    <row r="263" spans="1:45" ht="15.75" customHeight="1" x14ac:dyDescent="0.25">
      <c r="A263" s="107"/>
      <c r="B263" s="8"/>
      <c r="C263" s="8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107"/>
      <c r="AK263" s="107"/>
      <c r="AL263" s="107"/>
      <c r="AM263" s="107"/>
      <c r="AN263" s="107"/>
      <c r="AO263" s="107"/>
      <c r="AP263" s="107"/>
      <c r="AQ263" s="107"/>
      <c r="AR263" s="5"/>
      <c r="AS263" s="5"/>
    </row>
    <row r="264" spans="1:45" ht="15.75" customHeight="1" x14ac:dyDescent="0.25">
      <c r="A264" s="107"/>
      <c r="B264" s="8"/>
      <c r="C264" s="8"/>
      <c r="D264" s="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107"/>
      <c r="AK264" s="107"/>
      <c r="AL264" s="107"/>
      <c r="AM264" s="107"/>
      <c r="AN264" s="107"/>
      <c r="AO264" s="107"/>
      <c r="AP264" s="107"/>
      <c r="AQ264" s="107"/>
      <c r="AR264" s="5"/>
      <c r="AS264" s="5"/>
    </row>
    <row r="265" spans="1:45" ht="15.75" customHeight="1" x14ac:dyDescent="0.25">
      <c r="A265" s="107"/>
      <c r="B265" s="8"/>
      <c r="C265" s="8"/>
      <c r="D265" s="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107"/>
      <c r="AK265" s="107"/>
      <c r="AL265" s="107"/>
      <c r="AM265" s="107"/>
      <c r="AN265" s="107"/>
      <c r="AO265" s="107"/>
      <c r="AP265" s="107"/>
      <c r="AQ265" s="107"/>
      <c r="AR265" s="5"/>
      <c r="AS265" s="5"/>
    </row>
    <row r="266" spans="1:45" ht="15.75" customHeight="1" x14ac:dyDescent="0.25">
      <c r="A266" s="107"/>
      <c r="B266" s="8"/>
      <c r="C266" s="8"/>
      <c r="D266" s="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107"/>
      <c r="AK266" s="107"/>
      <c r="AL266" s="107"/>
      <c r="AM266" s="107"/>
      <c r="AN266" s="107"/>
      <c r="AO266" s="107"/>
      <c r="AP266" s="107"/>
      <c r="AQ266" s="107"/>
      <c r="AR266" s="5"/>
      <c r="AS266" s="5"/>
    </row>
    <row r="267" spans="1:45" ht="15.75" customHeight="1" x14ac:dyDescent="0.25">
      <c r="A267" s="107"/>
      <c r="B267" s="8"/>
      <c r="C267" s="8"/>
      <c r="D267" s="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107"/>
      <c r="AK267" s="107"/>
      <c r="AL267" s="107"/>
      <c r="AM267" s="107"/>
      <c r="AN267" s="107"/>
      <c r="AO267" s="107"/>
      <c r="AP267" s="107"/>
      <c r="AQ267" s="107"/>
      <c r="AR267" s="5"/>
      <c r="AS267" s="5"/>
    </row>
    <row r="268" spans="1:45" ht="15.75" customHeight="1" x14ac:dyDescent="0.25">
      <c r="A268" s="107"/>
      <c r="B268" s="8"/>
      <c r="C268" s="8"/>
      <c r="D268" s="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107"/>
      <c r="AK268" s="107"/>
      <c r="AL268" s="107"/>
      <c r="AM268" s="107"/>
      <c r="AN268" s="107"/>
      <c r="AO268" s="107"/>
      <c r="AP268" s="107"/>
      <c r="AQ268" s="107"/>
      <c r="AR268" s="5"/>
      <c r="AS268" s="5"/>
    </row>
    <row r="269" spans="1:45" ht="15.75" customHeight="1" x14ac:dyDescent="0.25">
      <c r="A269" s="107"/>
      <c r="B269" s="8"/>
      <c r="C269" s="8"/>
      <c r="D269" s="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107"/>
      <c r="AK269" s="107"/>
      <c r="AL269" s="107"/>
      <c r="AM269" s="107"/>
      <c r="AN269" s="107"/>
      <c r="AO269" s="107"/>
      <c r="AP269" s="107"/>
      <c r="AQ269" s="107"/>
      <c r="AR269" s="5"/>
      <c r="AS269" s="5"/>
    </row>
    <row r="270" spans="1:45" ht="15.75" customHeight="1" x14ac:dyDescent="0.25">
      <c r="A270" s="107"/>
      <c r="B270" s="8"/>
      <c r="C270" s="8"/>
      <c r="D270" s="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107"/>
      <c r="AK270" s="107"/>
      <c r="AL270" s="107"/>
      <c r="AM270" s="107"/>
      <c r="AN270" s="107"/>
      <c r="AO270" s="107"/>
      <c r="AP270" s="107"/>
      <c r="AQ270" s="107"/>
      <c r="AR270" s="5"/>
      <c r="AS270" s="5"/>
    </row>
    <row r="271" spans="1:45" ht="15.75" customHeight="1" x14ac:dyDescent="0.25">
      <c r="A271" s="107"/>
      <c r="B271" s="8"/>
      <c r="C271" s="8"/>
      <c r="D271" s="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107"/>
      <c r="AK271" s="107"/>
      <c r="AL271" s="107"/>
      <c r="AM271" s="107"/>
      <c r="AN271" s="107"/>
      <c r="AO271" s="107"/>
      <c r="AP271" s="107"/>
      <c r="AQ271" s="107"/>
      <c r="AR271" s="5"/>
      <c r="AS271" s="5"/>
    </row>
    <row r="272" spans="1:45" ht="15.75" customHeight="1" x14ac:dyDescent="0.25">
      <c r="A272" s="107"/>
      <c r="B272" s="8"/>
      <c r="C272" s="8"/>
      <c r="D272" s="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107"/>
      <c r="AK272" s="107"/>
      <c r="AL272" s="107"/>
      <c r="AM272" s="107"/>
      <c r="AN272" s="107"/>
      <c r="AO272" s="107"/>
      <c r="AP272" s="107"/>
      <c r="AQ272" s="107"/>
      <c r="AR272" s="5"/>
      <c r="AS272" s="5"/>
    </row>
    <row r="273" spans="1:45" ht="15.75" customHeight="1" x14ac:dyDescent="0.25">
      <c r="A273" s="107"/>
      <c r="B273" s="8"/>
      <c r="C273" s="8"/>
      <c r="D273" s="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107"/>
      <c r="AK273" s="107"/>
      <c r="AL273" s="107"/>
      <c r="AM273" s="107"/>
      <c r="AN273" s="107"/>
      <c r="AO273" s="107"/>
      <c r="AP273" s="107"/>
      <c r="AQ273" s="107"/>
      <c r="AR273" s="5"/>
      <c r="AS273" s="5"/>
    </row>
    <row r="274" spans="1:45" ht="15.75" customHeight="1" x14ac:dyDescent="0.25">
      <c r="A274" s="107"/>
      <c r="B274" s="8"/>
      <c r="C274" s="8"/>
      <c r="D274" s="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107"/>
      <c r="AK274" s="107"/>
      <c r="AL274" s="107"/>
      <c r="AM274" s="107"/>
      <c r="AN274" s="107"/>
      <c r="AO274" s="107"/>
      <c r="AP274" s="107"/>
      <c r="AQ274" s="107"/>
      <c r="AR274" s="5"/>
      <c r="AS274" s="5"/>
    </row>
    <row r="275" spans="1:45" ht="15.75" customHeight="1" x14ac:dyDescent="0.25">
      <c r="A275" s="107"/>
      <c r="B275" s="8"/>
      <c r="C275" s="8"/>
      <c r="D275" s="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107"/>
      <c r="AK275" s="107"/>
      <c r="AL275" s="107"/>
      <c r="AM275" s="107"/>
      <c r="AN275" s="107"/>
      <c r="AO275" s="107"/>
      <c r="AP275" s="107"/>
      <c r="AQ275" s="107"/>
      <c r="AR275" s="5"/>
      <c r="AS275" s="5"/>
    </row>
    <row r="276" spans="1:45" ht="15.75" customHeight="1" x14ac:dyDescent="0.25">
      <c r="A276" s="107"/>
      <c r="B276" s="8"/>
      <c r="C276" s="8"/>
      <c r="D276" s="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107"/>
      <c r="AK276" s="107"/>
      <c r="AL276" s="107"/>
      <c r="AM276" s="107"/>
      <c r="AN276" s="107"/>
      <c r="AO276" s="107"/>
      <c r="AP276" s="107"/>
      <c r="AQ276" s="107"/>
      <c r="AR276" s="5"/>
      <c r="AS276" s="5"/>
    </row>
    <row r="277" spans="1:45" ht="15.75" customHeight="1" x14ac:dyDescent="0.25">
      <c r="A277" s="107"/>
      <c r="B277" s="8"/>
      <c r="C277" s="8"/>
      <c r="D277" s="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107"/>
      <c r="AK277" s="107"/>
      <c r="AL277" s="107"/>
      <c r="AM277" s="107"/>
      <c r="AN277" s="107"/>
      <c r="AO277" s="107"/>
      <c r="AP277" s="107"/>
      <c r="AQ277" s="107"/>
      <c r="AR277" s="5"/>
      <c r="AS277" s="5"/>
    </row>
    <row r="278" spans="1:45" ht="15.75" customHeight="1" x14ac:dyDescent="0.25">
      <c r="A278" s="107"/>
      <c r="B278" s="8"/>
      <c r="C278" s="8"/>
      <c r="D278" s="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107"/>
      <c r="AK278" s="107"/>
      <c r="AL278" s="107"/>
      <c r="AM278" s="107"/>
      <c r="AN278" s="107"/>
      <c r="AO278" s="107"/>
      <c r="AP278" s="107"/>
      <c r="AQ278" s="107"/>
      <c r="AR278" s="5"/>
      <c r="AS278" s="5"/>
    </row>
    <row r="279" spans="1:45" ht="15.75" customHeight="1" x14ac:dyDescent="0.25">
      <c r="A279" s="107"/>
      <c r="B279" s="8"/>
      <c r="C279" s="8"/>
      <c r="D279" s="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107"/>
      <c r="AK279" s="107"/>
      <c r="AL279" s="107"/>
      <c r="AM279" s="107"/>
      <c r="AN279" s="107"/>
      <c r="AO279" s="107"/>
      <c r="AP279" s="107"/>
      <c r="AQ279" s="107"/>
      <c r="AR279" s="5"/>
      <c r="AS279" s="5"/>
    </row>
    <row r="280" spans="1:45" ht="15.75" customHeight="1" x14ac:dyDescent="0.25">
      <c r="A280" s="107"/>
      <c r="B280" s="8"/>
      <c r="C280" s="8"/>
      <c r="D280" s="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107"/>
      <c r="AK280" s="107"/>
      <c r="AL280" s="107"/>
      <c r="AM280" s="107"/>
      <c r="AN280" s="107"/>
      <c r="AO280" s="107"/>
      <c r="AP280" s="107"/>
      <c r="AQ280" s="107"/>
      <c r="AR280" s="5"/>
      <c r="AS280" s="5"/>
    </row>
    <row r="281" spans="1:45" ht="15.75" customHeight="1" x14ac:dyDescent="0.25">
      <c r="A281" s="107"/>
      <c r="B281" s="8"/>
      <c r="C281" s="8"/>
      <c r="D281" s="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107"/>
      <c r="AK281" s="107"/>
      <c r="AL281" s="107"/>
      <c r="AM281" s="107"/>
      <c r="AN281" s="107"/>
      <c r="AO281" s="107"/>
      <c r="AP281" s="107"/>
      <c r="AQ281" s="107"/>
      <c r="AR281" s="5"/>
      <c r="AS281" s="5"/>
    </row>
    <row r="282" spans="1:45" ht="15.75" customHeight="1" x14ac:dyDescent="0.25">
      <c r="A282" s="107"/>
      <c r="B282" s="8"/>
      <c r="C282" s="8"/>
      <c r="D282" s="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107"/>
      <c r="AK282" s="107"/>
      <c r="AL282" s="107"/>
      <c r="AM282" s="107"/>
      <c r="AN282" s="107"/>
      <c r="AO282" s="107"/>
      <c r="AP282" s="107"/>
      <c r="AQ282" s="107"/>
      <c r="AR282" s="5"/>
      <c r="AS282" s="5"/>
    </row>
    <row r="283" spans="1:45" ht="15.75" customHeight="1" x14ac:dyDescent="0.25">
      <c r="A283" s="107"/>
      <c r="B283" s="8"/>
      <c r="C283" s="8"/>
      <c r="D283" s="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107"/>
      <c r="AK283" s="107"/>
      <c r="AL283" s="107"/>
      <c r="AM283" s="107"/>
      <c r="AN283" s="107"/>
      <c r="AO283" s="107"/>
      <c r="AP283" s="107"/>
      <c r="AQ283" s="107"/>
      <c r="AR283" s="5"/>
      <c r="AS283" s="5"/>
    </row>
    <row r="284" spans="1:45" ht="15.75" customHeight="1" x14ac:dyDescent="0.25">
      <c r="A284" s="107"/>
      <c r="B284" s="8"/>
      <c r="C284" s="8"/>
      <c r="D284" s="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107"/>
      <c r="AK284" s="107"/>
      <c r="AL284" s="107"/>
      <c r="AM284" s="107"/>
      <c r="AN284" s="107"/>
      <c r="AO284" s="107"/>
      <c r="AP284" s="107"/>
      <c r="AQ284" s="107"/>
      <c r="AR284" s="5"/>
      <c r="AS284" s="5"/>
    </row>
    <row r="285" spans="1:45" ht="15.75" customHeight="1" x14ac:dyDescent="0.25">
      <c r="A285" s="107"/>
      <c r="B285" s="8"/>
      <c r="C285" s="8"/>
      <c r="D285" s="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107"/>
      <c r="AK285" s="107"/>
      <c r="AL285" s="107"/>
      <c r="AM285" s="107"/>
      <c r="AN285" s="107"/>
      <c r="AO285" s="107"/>
      <c r="AP285" s="107"/>
      <c r="AQ285" s="107"/>
      <c r="AR285" s="5"/>
      <c r="AS285" s="5"/>
    </row>
    <row r="286" spans="1:45" ht="15.75" customHeight="1" x14ac:dyDescent="0.25">
      <c r="A286" s="107"/>
      <c r="B286" s="8"/>
      <c r="C286" s="8"/>
      <c r="D286" s="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107"/>
      <c r="AK286" s="107"/>
      <c r="AL286" s="107"/>
      <c r="AM286" s="107"/>
      <c r="AN286" s="107"/>
      <c r="AO286" s="107"/>
      <c r="AP286" s="107"/>
      <c r="AQ286" s="107"/>
      <c r="AR286" s="5"/>
      <c r="AS286" s="5"/>
    </row>
    <row r="287" spans="1:45" ht="15.75" customHeight="1" x14ac:dyDescent="0.25">
      <c r="A287" s="107"/>
      <c r="B287" s="8"/>
      <c r="C287" s="8"/>
      <c r="D287" s="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107"/>
      <c r="AK287" s="107"/>
      <c r="AL287" s="107"/>
      <c r="AM287" s="107"/>
      <c r="AN287" s="107"/>
      <c r="AO287" s="107"/>
      <c r="AP287" s="107"/>
      <c r="AQ287" s="107"/>
      <c r="AR287" s="5"/>
      <c r="AS287" s="5"/>
    </row>
    <row r="288" spans="1:45" ht="15.75" customHeight="1" x14ac:dyDescent="0.25">
      <c r="A288" s="107"/>
      <c r="B288" s="8"/>
      <c r="C288" s="8"/>
      <c r="D288" s="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107"/>
      <c r="AK288" s="107"/>
      <c r="AL288" s="107"/>
      <c r="AM288" s="107"/>
      <c r="AN288" s="107"/>
      <c r="AO288" s="107"/>
      <c r="AP288" s="107"/>
      <c r="AQ288" s="107"/>
      <c r="AR288" s="5"/>
      <c r="AS288" s="5"/>
    </row>
    <row r="289" spans="1:45" ht="15.75" customHeight="1" x14ac:dyDescent="0.25">
      <c r="A289" s="107"/>
      <c r="B289" s="8"/>
      <c r="C289" s="8"/>
      <c r="D289" s="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107"/>
      <c r="AK289" s="107"/>
      <c r="AL289" s="107"/>
      <c r="AM289" s="107"/>
      <c r="AN289" s="107"/>
      <c r="AO289" s="107"/>
      <c r="AP289" s="107"/>
      <c r="AQ289" s="107"/>
      <c r="AR289" s="5"/>
      <c r="AS289" s="5"/>
    </row>
    <row r="290" spans="1:45" ht="15.75" customHeight="1" x14ac:dyDescent="0.25">
      <c r="A290" s="107"/>
      <c r="B290" s="8"/>
      <c r="C290" s="8"/>
      <c r="D290" s="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107"/>
      <c r="AK290" s="107"/>
      <c r="AL290" s="107"/>
      <c r="AM290" s="107"/>
      <c r="AN290" s="107"/>
      <c r="AO290" s="107"/>
      <c r="AP290" s="107"/>
      <c r="AQ290" s="107"/>
      <c r="AR290" s="5"/>
      <c r="AS290" s="5"/>
    </row>
    <row r="291" spans="1:45" ht="15.75" customHeight="1" x14ac:dyDescent="0.25">
      <c r="A291" s="107"/>
      <c r="B291" s="8"/>
      <c r="C291" s="8"/>
      <c r="D291" s="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107"/>
      <c r="AK291" s="107"/>
      <c r="AL291" s="107"/>
      <c r="AM291" s="107"/>
      <c r="AN291" s="107"/>
      <c r="AO291" s="107"/>
      <c r="AP291" s="107"/>
      <c r="AQ291" s="107"/>
      <c r="AR291" s="5"/>
      <c r="AS291" s="5"/>
    </row>
    <row r="292" spans="1:45" ht="15.75" customHeight="1" x14ac:dyDescent="0.25">
      <c r="A292" s="107"/>
      <c r="B292" s="8"/>
      <c r="C292" s="8"/>
      <c r="D292" s="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107"/>
      <c r="AK292" s="107"/>
      <c r="AL292" s="107"/>
      <c r="AM292" s="107"/>
      <c r="AN292" s="107"/>
      <c r="AO292" s="107"/>
      <c r="AP292" s="107"/>
      <c r="AQ292" s="107"/>
      <c r="AR292" s="5"/>
      <c r="AS292" s="5"/>
    </row>
    <row r="293" spans="1:45" ht="15.75" customHeight="1" x14ac:dyDescent="0.25">
      <c r="A293" s="107"/>
      <c r="B293" s="8"/>
      <c r="C293" s="8"/>
      <c r="D293" s="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107"/>
      <c r="AK293" s="107"/>
      <c r="AL293" s="107"/>
      <c r="AM293" s="107"/>
      <c r="AN293" s="107"/>
      <c r="AO293" s="107"/>
      <c r="AP293" s="107"/>
      <c r="AQ293" s="107"/>
      <c r="AR293" s="5"/>
      <c r="AS293" s="5"/>
    </row>
    <row r="294" spans="1:45" ht="15.75" customHeight="1" x14ac:dyDescent="0.25">
      <c r="A294" s="107"/>
      <c r="B294" s="8"/>
      <c r="C294" s="8"/>
      <c r="D294" s="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107"/>
      <c r="AK294" s="107"/>
      <c r="AL294" s="107"/>
      <c r="AM294" s="107"/>
      <c r="AN294" s="107"/>
      <c r="AO294" s="107"/>
      <c r="AP294" s="107"/>
      <c r="AQ294" s="107"/>
      <c r="AR294" s="5"/>
      <c r="AS294" s="5"/>
    </row>
    <row r="295" spans="1:45" ht="15.75" customHeight="1" x14ac:dyDescent="0.25">
      <c r="A295" s="107"/>
      <c r="B295" s="8"/>
      <c r="C295" s="8"/>
      <c r="D295" s="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107"/>
      <c r="AK295" s="107"/>
      <c r="AL295" s="107"/>
      <c r="AM295" s="107"/>
      <c r="AN295" s="107"/>
      <c r="AO295" s="107"/>
      <c r="AP295" s="107"/>
      <c r="AQ295" s="107"/>
      <c r="AR295" s="5"/>
      <c r="AS295" s="5"/>
    </row>
    <row r="296" spans="1:45" ht="15.75" customHeight="1" x14ac:dyDescent="0.25">
      <c r="A296" s="107"/>
      <c r="B296" s="8"/>
      <c r="C296" s="8"/>
      <c r="D296" s="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107"/>
      <c r="AK296" s="107"/>
      <c r="AL296" s="107"/>
      <c r="AM296" s="107"/>
      <c r="AN296" s="107"/>
      <c r="AO296" s="107"/>
      <c r="AP296" s="107"/>
      <c r="AQ296" s="107"/>
      <c r="AR296" s="5"/>
      <c r="AS296" s="5"/>
    </row>
    <row r="297" spans="1:45" ht="15.75" customHeight="1" x14ac:dyDescent="0.25">
      <c r="A297" s="107"/>
      <c r="B297" s="8"/>
      <c r="C297" s="8"/>
      <c r="D297" s="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107"/>
      <c r="AK297" s="107"/>
      <c r="AL297" s="107"/>
      <c r="AM297" s="107"/>
      <c r="AN297" s="107"/>
      <c r="AO297" s="107"/>
      <c r="AP297" s="107"/>
      <c r="AQ297" s="107"/>
      <c r="AR297" s="5"/>
      <c r="AS297" s="5"/>
    </row>
    <row r="298" spans="1:45" ht="15.75" customHeight="1" x14ac:dyDescent="0.25">
      <c r="A298" s="107"/>
      <c r="B298" s="8"/>
      <c r="C298" s="8"/>
      <c r="D298" s="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107"/>
      <c r="AK298" s="107"/>
      <c r="AL298" s="107"/>
      <c r="AM298" s="107"/>
      <c r="AN298" s="107"/>
      <c r="AO298" s="107"/>
      <c r="AP298" s="107"/>
      <c r="AQ298" s="107"/>
      <c r="AR298" s="5"/>
      <c r="AS298" s="5"/>
    </row>
    <row r="299" spans="1:45" ht="15.75" customHeight="1" x14ac:dyDescent="0.25">
      <c r="A299" s="107"/>
      <c r="B299" s="8"/>
      <c r="C299" s="8"/>
      <c r="D299" s="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107"/>
      <c r="AK299" s="107"/>
      <c r="AL299" s="107"/>
      <c r="AM299" s="107"/>
      <c r="AN299" s="107"/>
      <c r="AO299" s="107"/>
      <c r="AP299" s="107"/>
      <c r="AQ299" s="107"/>
      <c r="AR299" s="5"/>
      <c r="AS299" s="5"/>
    </row>
    <row r="300" spans="1:45" ht="15.75" customHeight="1" x14ac:dyDescent="0.25">
      <c r="A300" s="107"/>
      <c r="B300" s="8"/>
      <c r="C300" s="8"/>
      <c r="D300" s="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107"/>
      <c r="AK300" s="107"/>
      <c r="AL300" s="107"/>
      <c r="AM300" s="107"/>
      <c r="AN300" s="107"/>
      <c r="AO300" s="107"/>
      <c r="AP300" s="107"/>
      <c r="AQ300" s="107"/>
      <c r="AR300" s="5"/>
      <c r="AS300" s="5"/>
    </row>
    <row r="301" spans="1:45" ht="15.75" customHeight="1" x14ac:dyDescent="0.25">
      <c r="A301" s="107"/>
      <c r="B301" s="8"/>
      <c r="C301" s="8"/>
      <c r="D301" s="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107"/>
      <c r="AK301" s="107"/>
      <c r="AL301" s="107"/>
      <c r="AM301" s="107"/>
      <c r="AN301" s="107"/>
      <c r="AO301" s="107"/>
      <c r="AP301" s="107"/>
      <c r="AQ301" s="107"/>
      <c r="AR301" s="5"/>
      <c r="AS301" s="5"/>
    </row>
    <row r="302" spans="1:45" ht="15.75" customHeight="1" x14ac:dyDescent="0.25">
      <c r="A302" s="107"/>
      <c r="B302" s="8"/>
      <c r="C302" s="8"/>
      <c r="D302" s="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107"/>
      <c r="AK302" s="107"/>
      <c r="AL302" s="107"/>
      <c r="AM302" s="107"/>
      <c r="AN302" s="107"/>
      <c r="AO302" s="107"/>
      <c r="AP302" s="107"/>
      <c r="AQ302" s="107"/>
      <c r="AR302" s="5"/>
      <c r="AS302" s="5"/>
    </row>
    <row r="303" spans="1:45" ht="15.75" customHeight="1" x14ac:dyDescent="0.25">
      <c r="A303" s="107"/>
      <c r="B303" s="8"/>
      <c r="C303" s="8"/>
      <c r="D303" s="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107"/>
      <c r="AK303" s="107"/>
      <c r="AL303" s="107"/>
      <c r="AM303" s="107"/>
      <c r="AN303" s="107"/>
      <c r="AO303" s="107"/>
      <c r="AP303" s="107"/>
      <c r="AQ303" s="107"/>
      <c r="AR303" s="5"/>
      <c r="AS303" s="5"/>
    </row>
    <row r="304" spans="1:45" ht="15.75" customHeight="1" x14ac:dyDescent="0.25">
      <c r="A304" s="107"/>
      <c r="B304" s="8"/>
      <c r="C304" s="8"/>
      <c r="D304" s="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107"/>
      <c r="AK304" s="107"/>
      <c r="AL304" s="107"/>
      <c r="AM304" s="107"/>
      <c r="AN304" s="107"/>
      <c r="AO304" s="107"/>
      <c r="AP304" s="107"/>
      <c r="AQ304" s="107"/>
      <c r="AR304" s="5"/>
      <c r="AS304" s="5"/>
    </row>
    <row r="305" spans="1:45" ht="15.75" customHeight="1" x14ac:dyDescent="0.25">
      <c r="A305" s="107"/>
      <c r="B305" s="8"/>
      <c r="C305" s="8"/>
      <c r="D305" s="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107"/>
      <c r="AK305" s="107"/>
      <c r="AL305" s="107"/>
      <c r="AM305" s="107"/>
      <c r="AN305" s="107"/>
      <c r="AO305" s="107"/>
      <c r="AP305" s="107"/>
      <c r="AQ305" s="107"/>
      <c r="AR305" s="5"/>
      <c r="AS305" s="5"/>
    </row>
    <row r="306" spans="1:45" ht="15.75" customHeight="1" x14ac:dyDescent="0.25">
      <c r="A306" s="107"/>
      <c r="B306" s="8"/>
      <c r="C306" s="8"/>
      <c r="D306" s="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107"/>
      <c r="AK306" s="107"/>
      <c r="AL306" s="107"/>
      <c r="AM306" s="107"/>
      <c r="AN306" s="107"/>
      <c r="AO306" s="107"/>
      <c r="AP306" s="107"/>
      <c r="AQ306" s="107"/>
      <c r="AR306" s="5"/>
      <c r="AS306" s="5"/>
    </row>
    <row r="307" spans="1:45" ht="15.75" customHeight="1" x14ac:dyDescent="0.25">
      <c r="A307" s="107"/>
      <c r="B307" s="8"/>
      <c r="C307" s="8"/>
      <c r="D307" s="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107"/>
      <c r="AK307" s="107"/>
      <c r="AL307" s="107"/>
      <c r="AM307" s="107"/>
      <c r="AN307" s="107"/>
      <c r="AO307" s="107"/>
      <c r="AP307" s="107"/>
      <c r="AQ307" s="107"/>
      <c r="AR307" s="5"/>
      <c r="AS307" s="5"/>
    </row>
    <row r="308" spans="1:45" ht="15.75" customHeight="1" x14ac:dyDescent="0.25">
      <c r="A308" s="107"/>
      <c r="B308" s="8"/>
      <c r="C308" s="8"/>
      <c r="D308" s="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107"/>
      <c r="AK308" s="107"/>
      <c r="AL308" s="107"/>
      <c r="AM308" s="107"/>
      <c r="AN308" s="107"/>
      <c r="AO308" s="107"/>
      <c r="AP308" s="107"/>
      <c r="AQ308" s="107"/>
      <c r="AR308" s="5"/>
      <c r="AS308" s="5"/>
    </row>
    <row r="309" spans="1:45" ht="15.75" customHeight="1" x14ac:dyDescent="0.25">
      <c r="A309" s="107"/>
      <c r="B309" s="8"/>
      <c r="C309" s="8"/>
      <c r="D309" s="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107"/>
      <c r="AK309" s="107"/>
      <c r="AL309" s="107"/>
      <c r="AM309" s="107"/>
      <c r="AN309" s="107"/>
      <c r="AO309" s="107"/>
      <c r="AP309" s="107"/>
      <c r="AQ309" s="107"/>
      <c r="AR309" s="5"/>
      <c r="AS309" s="5"/>
    </row>
    <row r="310" spans="1:45" ht="15.75" customHeight="1" x14ac:dyDescent="0.25">
      <c r="A310" s="107"/>
      <c r="B310" s="8"/>
      <c r="C310" s="8"/>
      <c r="D310" s="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107"/>
      <c r="AK310" s="107"/>
      <c r="AL310" s="107"/>
      <c r="AM310" s="107"/>
      <c r="AN310" s="107"/>
      <c r="AO310" s="107"/>
      <c r="AP310" s="107"/>
      <c r="AQ310" s="107"/>
      <c r="AR310" s="5"/>
      <c r="AS310" s="5"/>
    </row>
    <row r="311" spans="1:45" ht="15.75" customHeight="1" x14ac:dyDescent="0.25">
      <c r="A311" s="107"/>
      <c r="B311" s="8"/>
      <c r="C311" s="8"/>
      <c r="D311" s="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107"/>
      <c r="AK311" s="107"/>
      <c r="AL311" s="107"/>
      <c r="AM311" s="107"/>
      <c r="AN311" s="107"/>
      <c r="AO311" s="107"/>
      <c r="AP311" s="107"/>
      <c r="AQ311" s="107"/>
      <c r="AR311" s="5"/>
      <c r="AS311" s="5"/>
    </row>
    <row r="312" spans="1:45" ht="15.75" customHeight="1" x14ac:dyDescent="0.25">
      <c r="A312" s="107"/>
      <c r="B312" s="8"/>
      <c r="C312" s="8"/>
      <c r="D312" s="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107"/>
      <c r="AK312" s="107"/>
      <c r="AL312" s="107"/>
      <c r="AM312" s="107"/>
      <c r="AN312" s="107"/>
      <c r="AO312" s="107"/>
      <c r="AP312" s="107"/>
      <c r="AQ312" s="107"/>
      <c r="AR312" s="5"/>
      <c r="AS312" s="5"/>
    </row>
    <row r="313" spans="1:45" ht="15.75" customHeight="1" x14ac:dyDescent="0.25">
      <c r="A313" s="107"/>
      <c r="B313" s="8"/>
      <c r="C313" s="8"/>
      <c r="D313" s="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107"/>
      <c r="AK313" s="107"/>
      <c r="AL313" s="107"/>
      <c r="AM313" s="107"/>
      <c r="AN313" s="107"/>
      <c r="AO313" s="107"/>
      <c r="AP313" s="107"/>
      <c r="AQ313" s="107"/>
      <c r="AR313" s="5"/>
      <c r="AS313" s="5"/>
    </row>
    <row r="314" spans="1:45" ht="15.75" customHeight="1" x14ac:dyDescent="0.25">
      <c r="A314" s="107"/>
      <c r="B314" s="8"/>
      <c r="C314" s="8"/>
      <c r="D314" s="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107"/>
      <c r="AK314" s="107"/>
      <c r="AL314" s="107"/>
      <c r="AM314" s="107"/>
      <c r="AN314" s="107"/>
      <c r="AO314" s="107"/>
      <c r="AP314" s="107"/>
      <c r="AQ314" s="107"/>
      <c r="AR314" s="5"/>
      <c r="AS314" s="5"/>
    </row>
    <row r="315" spans="1:45" ht="15.75" customHeight="1" x14ac:dyDescent="0.25">
      <c r="A315" s="107"/>
      <c r="B315" s="8"/>
      <c r="C315" s="8"/>
      <c r="D315" s="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107"/>
      <c r="AK315" s="107"/>
      <c r="AL315" s="107"/>
      <c r="AM315" s="107"/>
      <c r="AN315" s="107"/>
      <c r="AO315" s="107"/>
      <c r="AP315" s="107"/>
      <c r="AQ315" s="107"/>
      <c r="AR315" s="5"/>
      <c r="AS315" s="5"/>
    </row>
    <row r="316" spans="1:45" ht="15.75" customHeight="1" x14ac:dyDescent="0.25">
      <c r="A316" s="107"/>
      <c r="B316" s="8"/>
      <c r="C316" s="8"/>
      <c r="D316" s="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107"/>
      <c r="AK316" s="107"/>
      <c r="AL316" s="107"/>
      <c r="AM316" s="107"/>
      <c r="AN316" s="107"/>
      <c r="AO316" s="107"/>
      <c r="AP316" s="107"/>
      <c r="AQ316" s="107"/>
      <c r="AR316" s="5"/>
      <c r="AS316" s="5"/>
    </row>
    <row r="317" spans="1:45" ht="15.75" customHeight="1" x14ac:dyDescent="0.25">
      <c r="A317" s="107"/>
      <c r="B317" s="8"/>
      <c r="C317" s="8"/>
      <c r="D317" s="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107"/>
      <c r="AK317" s="107"/>
      <c r="AL317" s="107"/>
      <c r="AM317" s="107"/>
      <c r="AN317" s="107"/>
      <c r="AO317" s="107"/>
      <c r="AP317" s="107"/>
      <c r="AQ317" s="107"/>
      <c r="AR317" s="5"/>
      <c r="AS317" s="5"/>
    </row>
    <row r="318" spans="1:45" ht="15.75" customHeight="1" x14ac:dyDescent="0.25">
      <c r="A318" s="107"/>
      <c r="B318" s="8"/>
      <c r="C318" s="8"/>
      <c r="D318" s="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107"/>
      <c r="AK318" s="107"/>
      <c r="AL318" s="107"/>
      <c r="AM318" s="107"/>
      <c r="AN318" s="107"/>
      <c r="AO318" s="107"/>
      <c r="AP318" s="107"/>
      <c r="AQ318" s="107"/>
      <c r="AR318" s="5"/>
      <c r="AS318" s="5"/>
    </row>
    <row r="319" spans="1:45" ht="15.75" customHeight="1" x14ac:dyDescent="0.25">
      <c r="A319" s="107"/>
      <c r="B319" s="8"/>
      <c r="C319" s="8"/>
      <c r="D319" s="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107"/>
      <c r="AK319" s="107"/>
      <c r="AL319" s="107"/>
      <c r="AM319" s="107"/>
      <c r="AN319" s="107"/>
      <c r="AO319" s="107"/>
      <c r="AP319" s="107"/>
      <c r="AQ319" s="107"/>
      <c r="AR319" s="5"/>
      <c r="AS319" s="5"/>
    </row>
    <row r="320" spans="1:45" ht="15.75" customHeight="1" x14ac:dyDescent="0.25">
      <c r="A320" s="107"/>
      <c r="B320" s="8"/>
      <c r="C320" s="8"/>
      <c r="D320" s="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107"/>
      <c r="AK320" s="107"/>
      <c r="AL320" s="107"/>
      <c r="AM320" s="107"/>
      <c r="AN320" s="107"/>
      <c r="AO320" s="107"/>
      <c r="AP320" s="107"/>
      <c r="AQ320" s="107"/>
      <c r="AR320" s="5"/>
      <c r="AS320" s="5"/>
    </row>
    <row r="321" spans="1:45" ht="15.75" customHeight="1" x14ac:dyDescent="0.25">
      <c r="A321" s="107"/>
      <c r="B321" s="8"/>
      <c r="C321" s="8"/>
      <c r="D321" s="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107"/>
      <c r="AK321" s="107"/>
      <c r="AL321" s="107"/>
      <c r="AM321" s="107"/>
      <c r="AN321" s="107"/>
      <c r="AO321" s="107"/>
      <c r="AP321" s="107"/>
      <c r="AQ321" s="107"/>
      <c r="AR321" s="5"/>
      <c r="AS321" s="5"/>
    </row>
    <row r="322" spans="1:45" ht="15.75" customHeight="1" x14ac:dyDescent="0.25">
      <c r="A322" s="107"/>
      <c r="B322" s="8"/>
      <c r="C322" s="8"/>
      <c r="D322" s="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107"/>
      <c r="AK322" s="107"/>
      <c r="AL322" s="107"/>
      <c r="AM322" s="107"/>
      <c r="AN322" s="107"/>
      <c r="AO322" s="107"/>
      <c r="AP322" s="107"/>
      <c r="AQ322" s="107"/>
      <c r="AR322" s="5"/>
      <c r="AS322" s="5"/>
    </row>
    <row r="323" spans="1:45" ht="15.75" customHeight="1" x14ac:dyDescent="0.25">
      <c r="A323" s="107"/>
      <c r="B323" s="8"/>
      <c r="C323" s="8"/>
      <c r="D323" s="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107"/>
      <c r="AK323" s="107"/>
      <c r="AL323" s="107"/>
      <c r="AM323" s="107"/>
      <c r="AN323" s="107"/>
      <c r="AO323" s="107"/>
      <c r="AP323" s="107"/>
      <c r="AQ323" s="107"/>
      <c r="AR323" s="5"/>
      <c r="AS323" s="5"/>
    </row>
    <row r="324" spans="1:45" ht="15.75" customHeight="1" x14ac:dyDescent="0.25">
      <c r="A324" s="107"/>
      <c r="B324" s="8"/>
      <c r="C324" s="8"/>
      <c r="D324" s="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107"/>
      <c r="AK324" s="107"/>
      <c r="AL324" s="107"/>
      <c r="AM324" s="107"/>
      <c r="AN324" s="107"/>
      <c r="AO324" s="107"/>
      <c r="AP324" s="107"/>
      <c r="AQ324" s="107"/>
      <c r="AR324" s="5"/>
      <c r="AS324" s="5"/>
    </row>
    <row r="325" spans="1:45" ht="15.75" customHeight="1" x14ac:dyDescent="0.25">
      <c r="A325" s="107"/>
      <c r="B325" s="8"/>
      <c r="C325" s="8"/>
      <c r="D325" s="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107"/>
      <c r="AK325" s="107"/>
      <c r="AL325" s="107"/>
      <c r="AM325" s="107"/>
      <c r="AN325" s="107"/>
      <c r="AO325" s="107"/>
      <c r="AP325" s="107"/>
      <c r="AQ325" s="107"/>
      <c r="AR325" s="5"/>
      <c r="AS325" s="5"/>
    </row>
    <row r="326" spans="1:45" ht="15.75" customHeight="1" x14ac:dyDescent="0.25">
      <c r="A326" s="107"/>
      <c r="B326" s="8"/>
      <c r="C326" s="8"/>
      <c r="D326" s="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107"/>
      <c r="AK326" s="107"/>
      <c r="AL326" s="107"/>
      <c r="AM326" s="107"/>
      <c r="AN326" s="107"/>
      <c r="AO326" s="107"/>
      <c r="AP326" s="107"/>
      <c r="AQ326" s="107"/>
      <c r="AR326" s="5"/>
      <c r="AS326" s="5"/>
    </row>
    <row r="327" spans="1:45" ht="15.75" customHeight="1" x14ac:dyDescent="0.25">
      <c r="A327" s="107"/>
      <c r="B327" s="8"/>
      <c r="C327" s="8"/>
      <c r="D327" s="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107"/>
      <c r="AK327" s="107"/>
      <c r="AL327" s="107"/>
      <c r="AM327" s="107"/>
      <c r="AN327" s="107"/>
      <c r="AO327" s="107"/>
      <c r="AP327" s="107"/>
      <c r="AQ327" s="107"/>
      <c r="AR327" s="5"/>
      <c r="AS327" s="5"/>
    </row>
    <row r="328" spans="1:45" ht="15.75" customHeight="1" x14ac:dyDescent="0.25">
      <c r="A328" s="107"/>
      <c r="B328" s="8"/>
      <c r="C328" s="8"/>
      <c r="D328" s="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107"/>
      <c r="AK328" s="107"/>
      <c r="AL328" s="107"/>
      <c r="AM328" s="107"/>
      <c r="AN328" s="107"/>
      <c r="AO328" s="107"/>
      <c r="AP328" s="107"/>
      <c r="AQ328" s="107"/>
      <c r="AR328" s="5"/>
      <c r="AS328" s="5"/>
    </row>
    <row r="329" spans="1:45" ht="15.75" customHeight="1" x14ac:dyDescent="0.25">
      <c r="A329" s="107"/>
      <c r="B329" s="8"/>
      <c r="C329" s="8"/>
      <c r="D329" s="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107"/>
      <c r="AK329" s="107"/>
      <c r="AL329" s="107"/>
      <c r="AM329" s="107"/>
      <c r="AN329" s="107"/>
      <c r="AO329" s="107"/>
      <c r="AP329" s="107"/>
      <c r="AQ329" s="107"/>
      <c r="AR329" s="5"/>
      <c r="AS329" s="5"/>
    </row>
    <row r="330" spans="1:45" ht="15.75" customHeight="1" x14ac:dyDescent="0.25">
      <c r="A330" s="107"/>
      <c r="B330" s="8"/>
      <c r="C330" s="8"/>
      <c r="D330" s="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107"/>
      <c r="AK330" s="107"/>
      <c r="AL330" s="107"/>
      <c r="AM330" s="107"/>
      <c r="AN330" s="107"/>
      <c r="AO330" s="107"/>
      <c r="AP330" s="107"/>
      <c r="AQ330" s="107"/>
      <c r="AR330" s="5"/>
      <c r="AS330" s="5"/>
    </row>
    <row r="331" spans="1:45" ht="15.75" customHeight="1" x14ac:dyDescent="0.25">
      <c r="A331" s="107"/>
      <c r="B331" s="8"/>
      <c r="C331" s="8"/>
      <c r="D331" s="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107"/>
      <c r="AK331" s="107"/>
      <c r="AL331" s="107"/>
      <c r="AM331" s="107"/>
      <c r="AN331" s="107"/>
      <c r="AO331" s="107"/>
      <c r="AP331" s="107"/>
      <c r="AQ331" s="107"/>
      <c r="AR331" s="5"/>
      <c r="AS331" s="5"/>
    </row>
    <row r="332" spans="1:45" ht="15.75" customHeight="1" x14ac:dyDescent="0.25">
      <c r="A332" s="107"/>
      <c r="B332" s="8"/>
      <c r="C332" s="8"/>
      <c r="D332" s="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107"/>
      <c r="AK332" s="107"/>
      <c r="AL332" s="107"/>
      <c r="AM332" s="107"/>
      <c r="AN332" s="107"/>
      <c r="AO332" s="107"/>
      <c r="AP332" s="107"/>
      <c r="AQ332" s="107"/>
      <c r="AR332" s="5"/>
      <c r="AS332" s="5"/>
    </row>
    <row r="333" spans="1:45" ht="15.75" customHeight="1" x14ac:dyDescent="0.25">
      <c r="A333" s="107"/>
      <c r="B333" s="8"/>
      <c r="C333" s="8"/>
      <c r="D333" s="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107"/>
      <c r="AK333" s="107"/>
      <c r="AL333" s="107"/>
      <c r="AM333" s="107"/>
      <c r="AN333" s="107"/>
      <c r="AO333" s="107"/>
      <c r="AP333" s="107"/>
      <c r="AQ333" s="107"/>
      <c r="AR333" s="5"/>
      <c r="AS333" s="5"/>
    </row>
    <row r="334" spans="1:45" ht="15.75" customHeight="1" x14ac:dyDescent="0.25">
      <c r="A334" s="107"/>
      <c r="B334" s="8"/>
      <c r="C334" s="8"/>
      <c r="D334" s="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107"/>
      <c r="AK334" s="107"/>
      <c r="AL334" s="107"/>
      <c r="AM334" s="107"/>
      <c r="AN334" s="107"/>
      <c r="AO334" s="107"/>
      <c r="AP334" s="107"/>
      <c r="AQ334" s="107"/>
      <c r="AR334" s="5"/>
      <c r="AS334" s="5"/>
    </row>
    <row r="335" spans="1:45" ht="15.75" customHeight="1" x14ac:dyDescent="0.25">
      <c r="A335" s="107"/>
      <c r="B335" s="8"/>
      <c r="C335" s="8"/>
      <c r="D335" s="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107"/>
      <c r="AK335" s="107"/>
      <c r="AL335" s="107"/>
      <c r="AM335" s="107"/>
      <c r="AN335" s="107"/>
      <c r="AO335" s="107"/>
      <c r="AP335" s="107"/>
      <c r="AQ335" s="107"/>
      <c r="AR335" s="5"/>
      <c r="AS335" s="5"/>
    </row>
    <row r="336" spans="1:45" ht="15.75" customHeight="1" x14ac:dyDescent="0.25">
      <c r="A336" s="107"/>
      <c r="B336" s="8"/>
      <c r="C336" s="8"/>
      <c r="D336" s="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107"/>
      <c r="AK336" s="107"/>
      <c r="AL336" s="107"/>
      <c r="AM336" s="107"/>
      <c r="AN336" s="107"/>
      <c r="AO336" s="107"/>
      <c r="AP336" s="107"/>
      <c r="AQ336" s="107"/>
      <c r="AR336" s="5"/>
      <c r="AS336" s="5"/>
    </row>
    <row r="337" spans="1:45" ht="15.75" customHeight="1" x14ac:dyDescent="0.25">
      <c r="A337" s="107"/>
      <c r="B337" s="8"/>
      <c r="C337" s="8"/>
      <c r="D337" s="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107"/>
      <c r="AK337" s="107"/>
      <c r="AL337" s="107"/>
      <c r="AM337" s="107"/>
      <c r="AN337" s="107"/>
      <c r="AO337" s="107"/>
      <c r="AP337" s="107"/>
      <c r="AQ337" s="107"/>
      <c r="AR337" s="5"/>
      <c r="AS337" s="5"/>
    </row>
    <row r="338" spans="1:45" ht="15.75" customHeight="1" x14ac:dyDescent="0.25">
      <c r="A338" s="107"/>
      <c r="B338" s="8"/>
      <c r="C338" s="8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107"/>
      <c r="AK338" s="107"/>
      <c r="AL338" s="107"/>
      <c r="AM338" s="107"/>
      <c r="AN338" s="107"/>
      <c r="AO338" s="107"/>
      <c r="AP338" s="107"/>
      <c r="AQ338" s="107"/>
      <c r="AR338" s="5"/>
      <c r="AS338" s="5"/>
    </row>
    <row r="339" spans="1:45" ht="15.75" customHeight="1" x14ac:dyDescent="0.25">
      <c r="A339" s="107"/>
      <c r="B339" s="8"/>
      <c r="C339" s="8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107"/>
      <c r="AK339" s="107"/>
      <c r="AL339" s="107"/>
      <c r="AM339" s="107"/>
      <c r="AN339" s="107"/>
      <c r="AO339" s="107"/>
      <c r="AP339" s="107"/>
      <c r="AQ339" s="107"/>
      <c r="AR339" s="5"/>
      <c r="AS339" s="5"/>
    </row>
    <row r="340" spans="1:45" ht="15.75" customHeight="1" x14ac:dyDescent="0.25">
      <c r="A340" s="107"/>
      <c r="B340" s="8"/>
      <c r="C340" s="8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107"/>
      <c r="AK340" s="107"/>
      <c r="AL340" s="107"/>
      <c r="AM340" s="107"/>
      <c r="AN340" s="107"/>
      <c r="AO340" s="107"/>
      <c r="AP340" s="107"/>
      <c r="AQ340" s="107"/>
      <c r="AR340" s="5"/>
      <c r="AS340" s="5"/>
    </row>
    <row r="341" spans="1:45" ht="15.75" customHeight="1" x14ac:dyDescent="0.25">
      <c r="A341" s="107"/>
      <c r="B341" s="8"/>
      <c r="C341" s="8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107"/>
      <c r="AK341" s="107"/>
      <c r="AL341" s="107"/>
      <c r="AM341" s="107"/>
      <c r="AN341" s="107"/>
      <c r="AO341" s="107"/>
      <c r="AP341" s="107"/>
      <c r="AQ341" s="107"/>
      <c r="AR341" s="5"/>
      <c r="AS341" s="5"/>
    </row>
    <row r="342" spans="1:45" ht="15.75" customHeight="1" x14ac:dyDescent="0.25">
      <c r="A342" s="107"/>
      <c r="B342" s="8"/>
      <c r="C342" s="8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107"/>
      <c r="AK342" s="107"/>
      <c r="AL342" s="107"/>
      <c r="AM342" s="107"/>
      <c r="AN342" s="107"/>
      <c r="AO342" s="107"/>
      <c r="AP342" s="107"/>
      <c r="AQ342" s="107"/>
      <c r="AR342" s="5"/>
      <c r="AS342" s="5"/>
    </row>
    <row r="343" spans="1:45" ht="15.75" customHeight="1" x14ac:dyDescent="0.25">
      <c r="A343" s="107"/>
      <c r="B343" s="8"/>
      <c r="C343" s="8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107"/>
      <c r="AK343" s="107"/>
      <c r="AL343" s="107"/>
      <c r="AM343" s="107"/>
      <c r="AN343" s="107"/>
      <c r="AO343" s="107"/>
      <c r="AP343" s="107"/>
      <c r="AQ343" s="107"/>
      <c r="AR343" s="5"/>
      <c r="AS343" s="5"/>
    </row>
    <row r="344" spans="1:45" ht="15.75" customHeight="1" x14ac:dyDescent="0.25">
      <c r="A344" s="107"/>
      <c r="B344" s="8"/>
      <c r="C344" s="8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107"/>
      <c r="AK344" s="107"/>
      <c r="AL344" s="107"/>
      <c r="AM344" s="107"/>
      <c r="AN344" s="107"/>
      <c r="AO344" s="107"/>
      <c r="AP344" s="107"/>
      <c r="AQ344" s="107"/>
      <c r="AR344" s="5"/>
      <c r="AS344" s="5"/>
    </row>
    <row r="345" spans="1:45" ht="15.75" customHeight="1" x14ac:dyDescent="0.25">
      <c r="A345" s="107"/>
      <c r="B345" s="8"/>
      <c r="C345" s="8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107"/>
      <c r="AK345" s="107"/>
      <c r="AL345" s="107"/>
      <c r="AM345" s="107"/>
      <c r="AN345" s="107"/>
      <c r="AO345" s="107"/>
      <c r="AP345" s="107"/>
      <c r="AQ345" s="107"/>
      <c r="AR345" s="5"/>
      <c r="AS345" s="5"/>
    </row>
    <row r="346" spans="1:45" ht="15.75" customHeight="1" x14ac:dyDescent="0.25">
      <c r="A346" s="107"/>
      <c r="B346" s="8"/>
      <c r="C346" s="8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107"/>
      <c r="AK346" s="107"/>
      <c r="AL346" s="107"/>
      <c r="AM346" s="107"/>
      <c r="AN346" s="107"/>
      <c r="AO346" s="107"/>
      <c r="AP346" s="107"/>
      <c r="AQ346" s="107"/>
      <c r="AR346" s="5"/>
      <c r="AS346" s="5"/>
    </row>
    <row r="347" spans="1:45" ht="15.75" customHeight="1" x14ac:dyDescent="0.25">
      <c r="A347" s="107"/>
      <c r="B347" s="8"/>
      <c r="C347" s="8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107"/>
      <c r="AK347" s="107"/>
      <c r="AL347" s="107"/>
      <c r="AM347" s="107"/>
      <c r="AN347" s="107"/>
      <c r="AO347" s="107"/>
      <c r="AP347" s="107"/>
      <c r="AQ347" s="107"/>
      <c r="AR347" s="5"/>
      <c r="AS347" s="5"/>
    </row>
    <row r="348" spans="1:45" ht="15.75" customHeight="1" x14ac:dyDescent="0.25">
      <c r="A348" s="107"/>
      <c r="B348" s="8"/>
      <c r="C348" s="8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107"/>
      <c r="AK348" s="107"/>
      <c r="AL348" s="107"/>
      <c r="AM348" s="107"/>
      <c r="AN348" s="107"/>
      <c r="AO348" s="107"/>
      <c r="AP348" s="107"/>
      <c r="AQ348" s="107"/>
      <c r="AR348" s="5"/>
      <c r="AS348" s="5"/>
    </row>
    <row r="349" spans="1:45" ht="15.75" customHeight="1" x14ac:dyDescent="0.25">
      <c r="A349" s="107"/>
      <c r="B349" s="8"/>
      <c r="C349" s="8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107"/>
      <c r="AK349" s="107"/>
      <c r="AL349" s="107"/>
      <c r="AM349" s="107"/>
      <c r="AN349" s="107"/>
      <c r="AO349" s="107"/>
      <c r="AP349" s="107"/>
      <c r="AQ349" s="107"/>
      <c r="AR349" s="5"/>
      <c r="AS349" s="5"/>
    </row>
    <row r="350" spans="1:45" ht="15.75" customHeight="1" x14ac:dyDescent="0.25">
      <c r="A350" s="107"/>
      <c r="B350" s="8"/>
      <c r="C350" s="8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107"/>
      <c r="AK350" s="107"/>
      <c r="AL350" s="107"/>
      <c r="AM350" s="107"/>
      <c r="AN350" s="107"/>
      <c r="AO350" s="107"/>
      <c r="AP350" s="107"/>
      <c r="AQ350" s="107"/>
      <c r="AR350" s="5"/>
      <c r="AS350" s="5"/>
    </row>
    <row r="351" spans="1:45" ht="15.75" customHeight="1" x14ac:dyDescent="0.25">
      <c r="A351" s="107"/>
      <c r="B351" s="8"/>
      <c r="C351" s="8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107"/>
      <c r="AK351" s="107"/>
      <c r="AL351" s="107"/>
      <c r="AM351" s="107"/>
      <c r="AN351" s="107"/>
      <c r="AO351" s="107"/>
      <c r="AP351" s="107"/>
      <c r="AQ351" s="107"/>
      <c r="AR351" s="5"/>
      <c r="AS351" s="5"/>
    </row>
    <row r="352" spans="1:45" ht="15.75" customHeight="1" x14ac:dyDescent="0.25">
      <c r="A352" s="107"/>
      <c r="B352" s="8"/>
      <c r="C352" s="8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107"/>
      <c r="AK352" s="107"/>
      <c r="AL352" s="107"/>
      <c r="AM352" s="107"/>
      <c r="AN352" s="107"/>
      <c r="AO352" s="107"/>
      <c r="AP352" s="107"/>
      <c r="AQ352" s="107"/>
      <c r="AR352" s="5"/>
      <c r="AS352" s="5"/>
    </row>
    <row r="353" spans="1:45" ht="15.75" customHeight="1" x14ac:dyDescent="0.25">
      <c r="A353" s="107"/>
      <c r="B353" s="8"/>
      <c r="C353" s="8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107"/>
      <c r="AK353" s="107"/>
      <c r="AL353" s="107"/>
      <c r="AM353" s="107"/>
      <c r="AN353" s="107"/>
      <c r="AO353" s="107"/>
      <c r="AP353" s="107"/>
      <c r="AQ353" s="107"/>
      <c r="AR353" s="5"/>
      <c r="AS353" s="5"/>
    </row>
    <row r="354" spans="1:45" ht="15.75" customHeight="1" x14ac:dyDescent="0.25">
      <c r="A354" s="107"/>
      <c r="B354" s="8"/>
      <c r="C354" s="8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107"/>
      <c r="AK354" s="107"/>
      <c r="AL354" s="107"/>
      <c r="AM354" s="107"/>
      <c r="AN354" s="107"/>
      <c r="AO354" s="107"/>
      <c r="AP354" s="107"/>
      <c r="AQ354" s="107"/>
      <c r="AR354" s="5"/>
      <c r="AS354" s="5"/>
    </row>
    <row r="355" spans="1:45" ht="15.75" customHeight="1" x14ac:dyDescent="0.25">
      <c r="A355" s="107"/>
      <c r="B355" s="8"/>
      <c r="C355" s="8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107"/>
      <c r="AK355" s="107"/>
      <c r="AL355" s="107"/>
      <c r="AM355" s="107"/>
      <c r="AN355" s="107"/>
      <c r="AO355" s="107"/>
      <c r="AP355" s="107"/>
      <c r="AQ355" s="107"/>
      <c r="AR355" s="5"/>
      <c r="AS355" s="5"/>
    </row>
    <row r="356" spans="1:45" ht="15.75" customHeight="1" x14ac:dyDescent="0.25">
      <c r="A356" s="107"/>
      <c r="B356" s="8"/>
      <c r="C356" s="8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107"/>
      <c r="AK356" s="107"/>
      <c r="AL356" s="107"/>
      <c r="AM356" s="107"/>
      <c r="AN356" s="107"/>
      <c r="AO356" s="107"/>
      <c r="AP356" s="107"/>
      <c r="AQ356" s="107"/>
      <c r="AR356" s="5"/>
      <c r="AS356" s="5"/>
    </row>
    <row r="357" spans="1:45" ht="15.75" customHeight="1" x14ac:dyDescent="0.25">
      <c r="A357" s="107"/>
      <c r="B357" s="8"/>
      <c r="C357" s="8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107"/>
      <c r="AK357" s="107"/>
      <c r="AL357" s="107"/>
      <c r="AM357" s="107"/>
      <c r="AN357" s="107"/>
      <c r="AO357" s="107"/>
      <c r="AP357" s="107"/>
      <c r="AQ357" s="107"/>
      <c r="AR357" s="5"/>
      <c r="AS357" s="5"/>
    </row>
    <row r="358" spans="1:45" ht="15.75" customHeight="1" x14ac:dyDescent="0.25">
      <c r="A358" s="107"/>
      <c r="B358" s="8"/>
      <c r="C358" s="8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107"/>
      <c r="AK358" s="107"/>
      <c r="AL358" s="107"/>
      <c r="AM358" s="107"/>
      <c r="AN358" s="107"/>
      <c r="AO358" s="107"/>
      <c r="AP358" s="107"/>
      <c r="AQ358" s="107"/>
      <c r="AR358" s="5"/>
      <c r="AS358" s="5"/>
    </row>
    <row r="359" spans="1:45" ht="15.75" customHeight="1" x14ac:dyDescent="0.25">
      <c r="A359" s="107"/>
      <c r="B359" s="8"/>
      <c r="C359" s="8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107"/>
      <c r="AK359" s="107"/>
      <c r="AL359" s="107"/>
      <c r="AM359" s="107"/>
      <c r="AN359" s="107"/>
      <c r="AO359" s="107"/>
      <c r="AP359" s="107"/>
      <c r="AQ359" s="107"/>
      <c r="AR359" s="5"/>
      <c r="AS359" s="5"/>
    </row>
    <row r="360" spans="1:45" ht="15.75" customHeight="1" x14ac:dyDescent="0.25">
      <c r="A360" s="107"/>
      <c r="B360" s="8"/>
      <c r="C360" s="8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107"/>
      <c r="AK360" s="107"/>
      <c r="AL360" s="107"/>
      <c r="AM360" s="107"/>
      <c r="AN360" s="107"/>
      <c r="AO360" s="107"/>
      <c r="AP360" s="107"/>
      <c r="AQ360" s="107"/>
      <c r="AR360" s="5"/>
      <c r="AS360" s="5"/>
    </row>
    <row r="361" spans="1:45" ht="15.75" customHeight="1" x14ac:dyDescent="0.25">
      <c r="A361" s="107"/>
      <c r="B361" s="8"/>
      <c r="C361" s="8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107"/>
      <c r="AK361" s="107"/>
      <c r="AL361" s="107"/>
      <c r="AM361" s="107"/>
      <c r="AN361" s="107"/>
      <c r="AO361" s="107"/>
      <c r="AP361" s="107"/>
      <c r="AQ361" s="107"/>
      <c r="AR361" s="5"/>
      <c r="AS361" s="5"/>
    </row>
    <row r="362" spans="1:45" ht="15.75" customHeight="1" x14ac:dyDescent="0.25">
      <c r="A362" s="107"/>
      <c r="B362" s="8"/>
      <c r="C362" s="8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107"/>
      <c r="AK362" s="107"/>
      <c r="AL362" s="107"/>
      <c r="AM362" s="107"/>
      <c r="AN362" s="107"/>
      <c r="AO362" s="107"/>
      <c r="AP362" s="107"/>
      <c r="AQ362" s="107"/>
      <c r="AR362" s="5"/>
      <c r="AS362" s="5"/>
    </row>
    <row r="363" spans="1:45" ht="15.75" customHeight="1" x14ac:dyDescent="0.25">
      <c r="A363" s="107"/>
      <c r="B363" s="8"/>
      <c r="C363" s="8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107"/>
      <c r="AK363" s="107"/>
      <c r="AL363" s="107"/>
      <c r="AM363" s="107"/>
      <c r="AN363" s="107"/>
      <c r="AO363" s="107"/>
      <c r="AP363" s="107"/>
      <c r="AQ363" s="107"/>
      <c r="AR363" s="5"/>
      <c r="AS363" s="5"/>
    </row>
    <row r="364" spans="1:45" ht="15.75" customHeight="1" x14ac:dyDescent="0.25">
      <c r="A364" s="107"/>
      <c r="B364" s="8"/>
      <c r="C364" s="8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107"/>
      <c r="AK364" s="107"/>
      <c r="AL364" s="107"/>
      <c r="AM364" s="107"/>
      <c r="AN364" s="107"/>
      <c r="AO364" s="107"/>
      <c r="AP364" s="107"/>
      <c r="AQ364" s="107"/>
      <c r="AR364" s="5"/>
      <c r="AS364" s="5"/>
    </row>
    <row r="365" spans="1:45" ht="15.75" customHeight="1" x14ac:dyDescent="0.25">
      <c r="A365" s="107"/>
      <c r="B365" s="8"/>
      <c r="C365" s="8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107"/>
      <c r="AK365" s="107"/>
      <c r="AL365" s="107"/>
      <c r="AM365" s="107"/>
      <c r="AN365" s="107"/>
      <c r="AO365" s="107"/>
      <c r="AP365" s="107"/>
      <c r="AQ365" s="107"/>
      <c r="AR365" s="5"/>
      <c r="AS365" s="5"/>
    </row>
    <row r="366" spans="1:45" ht="15.75" customHeight="1" x14ac:dyDescent="0.25">
      <c r="A366" s="107"/>
      <c r="B366" s="8"/>
      <c r="C366" s="8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107"/>
      <c r="AK366" s="107"/>
      <c r="AL366" s="107"/>
      <c r="AM366" s="107"/>
      <c r="AN366" s="107"/>
      <c r="AO366" s="107"/>
      <c r="AP366" s="107"/>
      <c r="AQ366" s="107"/>
      <c r="AR366" s="5"/>
      <c r="AS366" s="5"/>
    </row>
    <row r="367" spans="1:45" ht="15.75" customHeight="1" x14ac:dyDescent="0.25">
      <c r="A367" s="107"/>
      <c r="B367" s="8"/>
      <c r="C367" s="8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107"/>
      <c r="AK367" s="107"/>
      <c r="AL367" s="107"/>
      <c r="AM367" s="107"/>
      <c r="AN367" s="107"/>
      <c r="AO367" s="107"/>
      <c r="AP367" s="107"/>
      <c r="AQ367" s="107"/>
      <c r="AR367" s="5"/>
      <c r="AS367" s="5"/>
    </row>
    <row r="368" spans="1:45" ht="15.75" customHeight="1" x14ac:dyDescent="0.25">
      <c r="A368" s="107"/>
      <c r="B368" s="8"/>
      <c r="C368" s="8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107"/>
      <c r="AK368" s="107"/>
      <c r="AL368" s="107"/>
      <c r="AM368" s="107"/>
      <c r="AN368" s="107"/>
      <c r="AO368" s="107"/>
      <c r="AP368" s="107"/>
      <c r="AQ368" s="107"/>
      <c r="AR368" s="5"/>
      <c r="AS368" s="5"/>
    </row>
    <row r="369" spans="1:45" ht="15.75" customHeight="1" x14ac:dyDescent="0.25">
      <c r="A369" s="107"/>
      <c r="B369" s="8"/>
      <c r="C369" s="8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107"/>
      <c r="AK369" s="107"/>
      <c r="AL369" s="107"/>
      <c r="AM369" s="107"/>
      <c r="AN369" s="107"/>
      <c r="AO369" s="107"/>
      <c r="AP369" s="107"/>
      <c r="AQ369" s="107"/>
      <c r="AR369" s="5"/>
      <c r="AS369" s="5"/>
    </row>
    <row r="370" spans="1:45" ht="15.75" customHeight="1" x14ac:dyDescent="0.25">
      <c r="A370" s="107"/>
      <c r="B370" s="8"/>
      <c r="C370" s="8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107"/>
      <c r="AK370" s="107"/>
      <c r="AL370" s="107"/>
      <c r="AM370" s="107"/>
      <c r="AN370" s="107"/>
      <c r="AO370" s="107"/>
      <c r="AP370" s="107"/>
      <c r="AQ370" s="107"/>
      <c r="AR370" s="5"/>
      <c r="AS370" s="5"/>
    </row>
    <row r="371" spans="1:45" ht="15.75" customHeight="1" x14ac:dyDescent="0.25">
      <c r="A371" s="107"/>
      <c r="B371" s="8"/>
      <c r="C371" s="8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107"/>
      <c r="AK371" s="107"/>
      <c r="AL371" s="107"/>
      <c r="AM371" s="107"/>
      <c r="AN371" s="107"/>
      <c r="AO371" s="107"/>
      <c r="AP371" s="107"/>
      <c r="AQ371" s="107"/>
      <c r="AR371" s="5"/>
      <c r="AS371" s="5"/>
    </row>
    <row r="372" spans="1:45" ht="15.75" customHeight="1" x14ac:dyDescent="0.25">
      <c r="A372" s="107"/>
      <c r="B372" s="8"/>
      <c r="C372" s="8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107"/>
      <c r="AK372" s="107"/>
      <c r="AL372" s="107"/>
      <c r="AM372" s="107"/>
      <c r="AN372" s="107"/>
      <c r="AO372" s="107"/>
      <c r="AP372" s="107"/>
      <c r="AQ372" s="107"/>
      <c r="AR372" s="5"/>
      <c r="AS372" s="5"/>
    </row>
    <row r="373" spans="1:45" ht="15.75" customHeight="1" x14ac:dyDescent="0.25">
      <c r="A373" s="107"/>
      <c r="B373" s="8"/>
      <c r="C373" s="8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107"/>
      <c r="AK373" s="107"/>
      <c r="AL373" s="107"/>
      <c r="AM373" s="107"/>
      <c r="AN373" s="107"/>
      <c r="AO373" s="107"/>
      <c r="AP373" s="107"/>
      <c r="AQ373" s="107"/>
      <c r="AR373" s="5"/>
      <c r="AS373" s="5"/>
    </row>
    <row r="374" spans="1:45" ht="15.75" customHeight="1" x14ac:dyDescent="0.25">
      <c r="A374" s="107"/>
      <c r="B374" s="8"/>
      <c r="C374" s="8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107"/>
      <c r="AK374" s="107"/>
      <c r="AL374" s="107"/>
      <c r="AM374" s="107"/>
      <c r="AN374" s="107"/>
      <c r="AO374" s="107"/>
      <c r="AP374" s="107"/>
      <c r="AQ374" s="107"/>
      <c r="AR374" s="5"/>
      <c r="AS374" s="5"/>
    </row>
    <row r="375" spans="1:45" ht="15.75" customHeight="1" x14ac:dyDescent="0.25">
      <c r="A375" s="107"/>
      <c r="B375" s="8"/>
      <c r="C375" s="8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107"/>
      <c r="AK375" s="107"/>
      <c r="AL375" s="107"/>
      <c r="AM375" s="107"/>
      <c r="AN375" s="107"/>
      <c r="AO375" s="107"/>
      <c r="AP375" s="107"/>
      <c r="AQ375" s="107"/>
      <c r="AR375" s="5"/>
      <c r="AS375" s="5"/>
    </row>
    <row r="376" spans="1:45" ht="15.75" customHeight="1" x14ac:dyDescent="0.25">
      <c r="A376" s="107"/>
      <c r="B376" s="8"/>
      <c r="C376" s="8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107"/>
      <c r="AK376" s="107"/>
      <c r="AL376" s="107"/>
      <c r="AM376" s="107"/>
      <c r="AN376" s="107"/>
      <c r="AO376" s="107"/>
      <c r="AP376" s="107"/>
      <c r="AQ376" s="107"/>
      <c r="AR376" s="5"/>
      <c r="AS376" s="5"/>
    </row>
    <row r="377" spans="1:45" ht="15.75" customHeight="1" x14ac:dyDescent="0.25">
      <c r="A377" s="107"/>
      <c r="B377" s="8"/>
      <c r="C377" s="8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107"/>
      <c r="AK377" s="107"/>
      <c r="AL377" s="107"/>
      <c r="AM377" s="107"/>
      <c r="AN377" s="107"/>
      <c r="AO377" s="107"/>
      <c r="AP377" s="107"/>
      <c r="AQ377" s="107"/>
      <c r="AR377" s="5"/>
      <c r="AS377" s="5"/>
    </row>
    <row r="378" spans="1:45" ht="15.75" customHeight="1" x14ac:dyDescent="0.25">
      <c r="A378" s="107"/>
      <c r="B378" s="8"/>
      <c r="C378" s="8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107"/>
      <c r="AK378" s="107"/>
      <c r="AL378" s="107"/>
      <c r="AM378" s="107"/>
      <c r="AN378" s="107"/>
      <c r="AO378" s="107"/>
      <c r="AP378" s="107"/>
      <c r="AQ378" s="107"/>
      <c r="AR378" s="5"/>
      <c r="AS378" s="5"/>
    </row>
    <row r="379" spans="1:45" ht="15.75" customHeight="1" x14ac:dyDescent="0.25">
      <c r="A379" s="107"/>
      <c r="B379" s="8"/>
      <c r="C379" s="8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107"/>
      <c r="AK379" s="107"/>
      <c r="AL379" s="107"/>
      <c r="AM379" s="107"/>
      <c r="AN379" s="107"/>
      <c r="AO379" s="107"/>
      <c r="AP379" s="107"/>
      <c r="AQ379" s="107"/>
      <c r="AR379" s="5"/>
      <c r="AS379" s="5"/>
    </row>
    <row r="380" spans="1:45" ht="15.75" customHeight="1" x14ac:dyDescent="0.25">
      <c r="A380" s="107"/>
      <c r="B380" s="8"/>
      <c r="C380" s="8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107"/>
      <c r="AK380" s="107"/>
      <c r="AL380" s="107"/>
      <c r="AM380" s="107"/>
      <c r="AN380" s="107"/>
      <c r="AO380" s="107"/>
      <c r="AP380" s="107"/>
      <c r="AQ380" s="107"/>
      <c r="AR380" s="5"/>
      <c r="AS380" s="5"/>
    </row>
    <row r="381" spans="1:45" ht="15.75" customHeight="1" x14ac:dyDescent="0.25">
      <c r="A381" s="107"/>
      <c r="B381" s="8"/>
      <c r="C381" s="8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107"/>
      <c r="AK381" s="107"/>
      <c r="AL381" s="107"/>
      <c r="AM381" s="107"/>
      <c r="AN381" s="107"/>
      <c r="AO381" s="107"/>
      <c r="AP381" s="107"/>
      <c r="AQ381" s="107"/>
      <c r="AR381" s="5"/>
      <c r="AS381" s="5"/>
    </row>
    <row r="382" spans="1:45" ht="15.75" customHeight="1" x14ac:dyDescent="0.25">
      <c r="A382" s="107"/>
      <c r="B382" s="8"/>
      <c r="C382" s="8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107"/>
      <c r="AK382" s="107"/>
      <c r="AL382" s="107"/>
      <c r="AM382" s="107"/>
      <c r="AN382" s="107"/>
      <c r="AO382" s="107"/>
      <c r="AP382" s="107"/>
      <c r="AQ382" s="107"/>
      <c r="AR382" s="5"/>
      <c r="AS382" s="5"/>
    </row>
    <row r="383" spans="1:45" ht="15.75" customHeight="1" x14ac:dyDescent="0.25">
      <c r="A383" s="107"/>
      <c r="B383" s="8"/>
      <c r="C383" s="8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107"/>
      <c r="AK383" s="107"/>
      <c r="AL383" s="107"/>
      <c r="AM383" s="107"/>
      <c r="AN383" s="107"/>
      <c r="AO383" s="107"/>
      <c r="AP383" s="107"/>
      <c r="AQ383" s="107"/>
      <c r="AR383" s="5"/>
      <c r="AS383" s="5"/>
    </row>
    <row r="384" spans="1:45" ht="15.75" customHeight="1" x14ac:dyDescent="0.25">
      <c r="A384" s="107"/>
      <c r="B384" s="8"/>
      <c r="C384" s="8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107"/>
      <c r="AK384" s="107"/>
      <c r="AL384" s="107"/>
      <c r="AM384" s="107"/>
      <c r="AN384" s="107"/>
      <c r="AO384" s="107"/>
      <c r="AP384" s="107"/>
      <c r="AQ384" s="107"/>
      <c r="AR384" s="5"/>
      <c r="AS384" s="5"/>
    </row>
    <row r="385" spans="1:45" ht="15.75" customHeight="1" x14ac:dyDescent="0.25">
      <c r="A385" s="107"/>
      <c r="B385" s="8"/>
      <c r="C385" s="8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107"/>
      <c r="AK385" s="107"/>
      <c r="AL385" s="107"/>
      <c r="AM385" s="107"/>
      <c r="AN385" s="107"/>
      <c r="AO385" s="107"/>
      <c r="AP385" s="107"/>
      <c r="AQ385" s="107"/>
      <c r="AR385" s="5"/>
      <c r="AS385" s="5"/>
    </row>
    <row r="386" spans="1:45" ht="15.75" customHeight="1" x14ac:dyDescent="0.25">
      <c r="A386" s="107"/>
      <c r="B386" s="8"/>
      <c r="C386" s="8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107"/>
      <c r="AK386" s="107"/>
      <c r="AL386" s="107"/>
      <c r="AM386" s="107"/>
      <c r="AN386" s="107"/>
      <c r="AO386" s="107"/>
      <c r="AP386" s="107"/>
      <c r="AQ386" s="107"/>
      <c r="AR386" s="5"/>
      <c r="AS386" s="5"/>
    </row>
    <row r="387" spans="1:45" ht="15.75" customHeight="1" x14ac:dyDescent="0.25">
      <c r="A387" s="107"/>
      <c r="B387" s="8"/>
      <c r="C387" s="8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107"/>
      <c r="AK387" s="107"/>
      <c r="AL387" s="107"/>
      <c r="AM387" s="107"/>
      <c r="AN387" s="107"/>
      <c r="AO387" s="107"/>
      <c r="AP387" s="107"/>
      <c r="AQ387" s="107"/>
      <c r="AR387" s="5"/>
      <c r="AS387" s="5"/>
    </row>
    <row r="388" spans="1:45" ht="15.75" customHeight="1" x14ac:dyDescent="0.25">
      <c r="A388" s="107"/>
      <c r="B388" s="8"/>
      <c r="C388" s="8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107"/>
      <c r="AK388" s="107"/>
      <c r="AL388" s="107"/>
      <c r="AM388" s="107"/>
      <c r="AN388" s="107"/>
      <c r="AO388" s="107"/>
      <c r="AP388" s="107"/>
      <c r="AQ388" s="107"/>
      <c r="AR388" s="5"/>
      <c r="AS388" s="5"/>
    </row>
    <row r="389" spans="1:45" ht="15.75" customHeight="1" x14ac:dyDescent="0.25">
      <c r="A389" s="107"/>
      <c r="B389" s="8"/>
      <c r="C389" s="8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107"/>
      <c r="AK389" s="107"/>
      <c r="AL389" s="107"/>
      <c r="AM389" s="107"/>
      <c r="AN389" s="107"/>
      <c r="AO389" s="107"/>
      <c r="AP389" s="107"/>
      <c r="AQ389" s="107"/>
      <c r="AR389" s="5"/>
      <c r="AS389" s="5"/>
    </row>
    <row r="390" spans="1:45" ht="15.75" customHeight="1" x14ac:dyDescent="0.25">
      <c r="A390" s="107"/>
      <c r="B390" s="8"/>
      <c r="C390" s="8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107"/>
      <c r="AK390" s="107"/>
      <c r="AL390" s="107"/>
      <c r="AM390" s="107"/>
      <c r="AN390" s="107"/>
      <c r="AO390" s="107"/>
      <c r="AP390" s="107"/>
      <c r="AQ390" s="107"/>
      <c r="AR390" s="5"/>
      <c r="AS390" s="5"/>
    </row>
    <row r="391" spans="1:45" ht="15.75" customHeight="1" x14ac:dyDescent="0.25">
      <c r="A391" s="107"/>
      <c r="B391" s="8"/>
      <c r="C391" s="8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107"/>
      <c r="AK391" s="107"/>
      <c r="AL391" s="107"/>
      <c r="AM391" s="107"/>
      <c r="AN391" s="107"/>
      <c r="AO391" s="107"/>
      <c r="AP391" s="107"/>
      <c r="AQ391" s="107"/>
      <c r="AR391" s="5"/>
      <c r="AS391" s="5"/>
    </row>
    <row r="392" spans="1:45" ht="15.75" customHeight="1" x14ac:dyDescent="0.25">
      <c r="A392" s="107"/>
      <c r="B392" s="8"/>
      <c r="C392" s="8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107"/>
      <c r="AK392" s="107"/>
      <c r="AL392" s="107"/>
      <c r="AM392" s="107"/>
      <c r="AN392" s="107"/>
      <c r="AO392" s="107"/>
      <c r="AP392" s="107"/>
      <c r="AQ392" s="107"/>
      <c r="AR392" s="5"/>
      <c r="AS392" s="5"/>
    </row>
    <row r="393" spans="1:45" ht="15.75" customHeight="1" x14ac:dyDescent="0.25">
      <c r="A393" s="107"/>
      <c r="B393" s="8"/>
      <c r="C393" s="8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107"/>
      <c r="AK393" s="107"/>
      <c r="AL393" s="107"/>
      <c r="AM393" s="107"/>
      <c r="AN393" s="107"/>
      <c r="AO393" s="107"/>
      <c r="AP393" s="107"/>
      <c r="AQ393" s="107"/>
      <c r="AR393" s="5"/>
      <c r="AS393" s="5"/>
    </row>
    <row r="394" spans="1:45" ht="15.75" customHeight="1" x14ac:dyDescent="0.25">
      <c r="A394" s="107"/>
      <c r="B394" s="8"/>
      <c r="C394" s="8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107"/>
      <c r="AK394" s="107"/>
      <c r="AL394" s="107"/>
      <c r="AM394" s="107"/>
      <c r="AN394" s="107"/>
      <c r="AO394" s="107"/>
      <c r="AP394" s="107"/>
      <c r="AQ394" s="107"/>
      <c r="AR394" s="5"/>
      <c r="AS394" s="5"/>
    </row>
    <row r="395" spans="1:45" ht="15.75" customHeight="1" x14ac:dyDescent="0.25">
      <c r="A395" s="107"/>
      <c r="B395" s="8"/>
      <c r="C395" s="8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107"/>
      <c r="AK395" s="107"/>
      <c r="AL395" s="107"/>
      <c r="AM395" s="107"/>
      <c r="AN395" s="107"/>
      <c r="AO395" s="107"/>
      <c r="AP395" s="107"/>
      <c r="AQ395" s="107"/>
      <c r="AR395" s="5"/>
      <c r="AS395" s="5"/>
    </row>
    <row r="396" spans="1:45" ht="15.75" customHeight="1" x14ac:dyDescent="0.25">
      <c r="A396" s="107"/>
      <c r="B396" s="8"/>
      <c r="C396" s="8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107"/>
      <c r="AK396" s="107"/>
      <c r="AL396" s="107"/>
      <c r="AM396" s="107"/>
      <c r="AN396" s="107"/>
      <c r="AO396" s="107"/>
      <c r="AP396" s="107"/>
      <c r="AQ396" s="107"/>
      <c r="AR396" s="5"/>
      <c r="AS396" s="5"/>
    </row>
    <row r="397" spans="1:45" ht="15.75" customHeight="1" x14ac:dyDescent="0.25">
      <c r="A397" s="107"/>
      <c r="B397" s="8"/>
      <c r="C397" s="8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107"/>
      <c r="AK397" s="107"/>
      <c r="AL397" s="107"/>
      <c r="AM397" s="107"/>
      <c r="AN397" s="107"/>
      <c r="AO397" s="107"/>
      <c r="AP397" s="107"/>
      <c r="AQ397" s="107"/>
      <c r="AR397" s="5"/>
      <c r="AS397" s="5"/>
    </row>
    <row r="398" spans="1:45" ht="15.75" customHeight="1" x14ac:dyDescent="0.25">
      <c r="A398" s="107"/>
      <c r="B398" s="8"/>
      <c r="C398" s="8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107"/>
      <c r="AK398" s="107"/>
      <c r="AL398" s="107"/>
      <c r="AM398" s="107"/>
      <c r="AN398" s="107"/>
      <c r="AO398" s="107"/>
      <c r="AP398" s="107"/>
      <c r="AQ398" s="107"/>
      <c r="AR398" s="5"/>
      <c r="AS398" s="5"/>
    </row>
    <row r="399" spans="1:45" ht="15.75" customHeight="1" x14ac:dyDescent="0.25">
      <c r="A399" s="107"/>
      <c r="B399" s="8"/>
      <c r="C399" s="8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107"/>
      <c r="AK399" s="107"/>
      <c r="AL399" s="107"/>
      <c r="AM399" s="107"/>
      <c r="AN399" s="107"/>
      <c r="AO399" s="107"/>
      <c r="AP399" s="107"/>
      <c r="AQ399" s="107"/>
      <c r="AR399" s="5"/>
      <c r="AS399" s="5"/>
    </row>
    <row r="400" spans="1:45" ht="15.75" customHeight="1" x14ac:dyDescent="0.25">
      <c r="A400" s="107"/>
      <c r="B400" s="8"/>
      <c r="C400" s="8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107"/>
      <c r="AK400" s="107"/>
      <c r="AL400" s="107"/>
      <c r="AM400" s="107"/>
      <c r="AN400" s="107"/>
      <c r="AO400" s="107"/>
      <c r="AP400" s="107"/>
      <c r="AQ400" s="107"/>
      <c r="AR400" s="5"/>
      <c r="AS400" s="5"/>
    </row>
    <row r="401" spans="1:45" ht="15.75" customHeight="1" x14ac:dyDescent="0.25">
      <c r="A401" s="107"/>
      <c r="B401" s="8"/>
      <c r="C401" s="8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107"/>
      <c r="AK401" s="107"/>
      <c r="AL401" s="107"/>
      <c r="AM401" s="107"/>
      <c r="AN401" s="107"/>
      <c r="AO401" s="107"/>
      <c r="AP401" s="107"/>
      <c r="AQ401" s="107"/>
      <c r="AR401" s="5"/>
      <c r="AS401" s="5"/>
    </row>
    <row r="402" spans="1:45" ht="15.75" customHeight="1" x14ac:dyDescent="0.25">
      <c r="A402" s="107"/>
      <c r="B402" s="8"/>
      <c r="C402" s="8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107"/>
      <c r="AK402" s="107"/>
      <c r="AL402" s="107"/>
      <c r="AM402" s="107"/>
      <c r="AN402" s="107"/>
      <c r="AO402" s="107"/>
      <c r="AP402" s="107"/>
      <c r="AQ402" s="107"/>
      <c r="AR402" s="5"/>
      <c r="AS402" s="5"/>
    </row>
    <row r="403" spans="1:45" ht="15.75" customHeight="1" x14ac:dyDescent="0.25">
      <c r="A403" s="107"/>
      <c r="B403" s="8"/>
      <c r="C403" s="8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107"/>
      <c r="AK403" s="107"/>
      <c r="AL403" s="107"/>
      <c r="AM403" s="107"/>
      <c r="AN403" s="107"/>
      <c r="AO403" s="107"/>
      <c r="AP403" s="107"/>
      <c r="AQ403" s="107"/>
      <c r="AR403" s="5"/>
      <c r="AS403" s="5"/>
    </row>
    <row r="404" spans="1:45" ht="15.75" customHeight="1" x14ac:dyDescent="0.25">
      <c r="A404" s="107"/>
      <c r="B404" s="8"/>
      <c r="C404" s="8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107"/>
      <c r="AK404" s="107"/>
      <c r="AL404" s="107"/>
      <c r="AM404" s="107"/>
      <c r="AN404" s="107"/>
      <c r="AO404" s="107"/>
      <c r="AP404" s="107"/>
      <c r="AQ404" s="107"/>
      <c r="AR404" s="5"/>
      <c r="AS404" s="5"/>
    </row>
    <row r="405" spans="1:45" ht="15.75" customHeight="1" x14ac:dyDescent="0.25">
      <c r="A405" s="107"/>
      <c r="B405" s="8"/>
      <c r="C405" s="8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107"/>
      <c r="AK405" s="107"/>
      <c r="AL405" s="107"/>
      <c r="AM405" s="107"/>
      <c r="AN405" s="107"/>
      <c r="AO405" s="107"/>
      <c r="AP405" s="107"/>
      <c r="AQ405" s="107"/>
      <c r="AR405" s="5"/>
      <c r="AS405" s="5"/>
    </row>
    <row r="406" spans="1:45" ht="15.75" customHeight="1" x14ac:dyDescent="0.25">
      <c r="A406" s="107"/>
      <c r="B406" s="8"/>
      <c r="C406" s="8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107"/>
      <c r="AK406" s="107"/>
      <c r="AL406" s="107"/>
      <c r="AM406" s="107"/>
      <c r="AN406" s="107"/>
      <c r="AO406" s="107"/>
      <c r="AP406" s="107"/>
      <c r="AQ406" s="107"/>
      <c r="AR406" s="5"/>
      <c r="AS406" s="5"/>
    </row>
    <row r="407" spans="1:45" ht="15.75" customHeight="1" x14ac:dyDescent="0.25">
      <c r="A407" s="107"/>
      <c r="B407" s="8"/>
      <c r="C407" s="8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107"/>
      <c r="AK407" s="107"/>
      <c r="AL407" s="107"/>
      <c r="AM407" s="107"/>
      <c r="AN407" s="107"/>
      <c r="AO407" s="107"/>
      <c r="AP407" s="107"/>
      <c r="AQ407" s="107"/>
      <c r="AR407" s="5"/>
      <c r="AS407" s="5"/>
    </row>
    <row r="408" spans="1:45" ht="15.75" customHeight="1" x14ac:dyDescent="0.25">
      <c r="A408" s="107"/>
      <c r="B408" s="8"/>
      <c r="C408" s="8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107"/>
      <c r="AK408" s="107"/>
      <c r="AL408" s="107"/>
      <c r="AM408" s="107"/>
      <c r="AN408" s="107"/>
      <c r="AO408" s="107"/>
      <c r="AP408" s="107"/>
      <c r="AQ408" s="107"/>
      <c r="AR408" s="5"/>
      <c r="AS408" s="5"/>
    </row>
    <row r="409" spans="1:45" ht="15.75" customHeight="1" x14ac:dyDescent="0.25">
      <c r="A409" s="107"/>
      <c r="B409" s="8"/>
      <c r="C409" s="8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107"/>
      <c r="AK409" s="107"/>
      <c r="AL409" s="107"/>
      <c r="AM409" s="107"/>
      <c r="AN409" s="107"/>
      <c r="AO409" s="107"/>
      <c r="AP409" s="107"/>
      <c r="AQ409" s="107"/>
      <c r="AR409" s="5"/>
      <c r="AS409" s="5"/>
    </row>
    <row r="410" spans="1:45" ht="15.75" customHeight="1" x14ac:dyDescent="0.25">
      <c r="A410" s="107"/>
      <c r="B410" s="8"/>
      <c r="C410" s="8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107"/>
      <c r="AK410" s="107"/>
      <c r="AL410" s="107"/>
      <c r="AM410" s="107"/>
      <c r="AN410" s="107"/>
      <c r="AO410" s="107"/>
      <c r="AP410" s="107"/>
      <c r="AQ410" s="107"/>
      <c r="AR410" s="5"/>
      <c r="AS410" s="5"/>
    </row>
    <row r="411" spans="1:45" ht="15.75" customHeight="1" x14ac:dyDescent="0.25">
      <c r="A411" s="107"/>
      <c r="B411" s="8"/>
      <c r="C411" s="8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107"/>
      <c r="AK411" s="107"/>
      <c r="AL411" s="107"/>
      <c r="AM411" s="107"/>
      <c r="AN411" s="107"/>
      <c r="AO411" s="107"/>
      <c r="AP411" s="107"/>
      <c r="AQ411" s="107"/>
      <c r="AR411" s="5"/>
      <c r="AS411" s="5"/>
    </row>
    <row r="412" spans="1:45" ht="15.75" customHeight="1" x14ac:dyDescent="0.25">
      <c r="A412" s="107"/>
      <c r="B412" s="8"/>
      <c r="C412" s="8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107"/>
      <c r="AK412" s="107"/>
      <c r="AL412" s="107"/>
      <c r="AM412" s="107"/>
      <c r="AN412" s="107"/>
      <c r="AO412" s="107"/>
      <c r="AP412" s="107"/>
      <c r="AQ412" s="107"/>
      <c r="AR412" s="5"/>
      <c r="AS412" s="5"/>
    </row>
    <row r="413" spans="1:45" ht="15.75" customHeight="1" x14ac:dyDescent="0.25">
      <c r="A413" s="107"/>
      <c r="B413" s="8"/>
      <c r="C413" s="8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107"/>
      <c r="AK413" s="107"/>
      <c r="AL413" s="107"/>
      <c r="AM413" s="107"/>
      <c r="AN413" s="107"/>
      <c r="AO413" s="107"/>
      <c r="AP413" s="107"/>
      <c r="AQ413" s="107"/>
      <c r="AR413" s="5"/>
      <c r="AS413" s="5"/>
    </row>
    <row r="414" spans="1:45" ht="15.75" customHeight="1" x14ac:dyDescent="0.25">
      <c r="A414" s="107"/>
      <c r="B414" s="8"/>
      <c r="C414" s="8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107"/>
      <c r="AK414" s="107"/>
      <c r="AL414" s="107"/>
      <c r="AM414" s="107"/>
      <c r="AN414" s="107"/>
      <c r="AO414" s="107"/>
      <c r="AP414" s="107"/>
      <c r="AQ414" s="107"/>
      <c r="AR414" s="5"/>
      <c r="AS414" s="5"/>
    </row>
    <row r="415" spans="1:45" ht="15.75" customHeight="1" x14ac:dyDescent="0.25">
      <c r="A415" s="107"/>
      <c r="B415" s="8"/>
      <c r="C415" s="8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107"/>
      <c r="AK415" s="107"/>
      <c r="AL415" s="107"/>
      <c r="AM415" s="107"/>
      <c r="AN415" s="107"/>
      <c r="AO415" s="107"/>
      <c r="AP415" s="107"/>
      <c r="AQ415" s="107"/>
      <c r="AR415" s="5"/>
      <c r="AS415" s="5"/>
    </row>
    <row r="416" spans="1:45" ht="15.75" customHeight="1" x14ac:dyDescent="0.25">
      <c r="A416" s="107"/>
      <c r="B416" s="8"/>
      <c r="C416" s="8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107"/>
      <c r="AK416" s="107"/>
      <c r="AL416" s="107"/>
      <c r="AM416" s="107"/>
      <c r="AN416" s="107"/>
      <c r="AO416" s="107"/>
      <c r="AP416" s="107"/>
      <c r="AQ416" s="107"/>
      <c r="AR416" s="5"/>
      <c r="AS416" s="5"/>
    </row>
    <row r="417" spans="1:45" ht="15.75" customHeight="1" x14ac:dyDescent="0.25">
      <c r="A417" s="107"/>
      <c r="B417" s="8"/>
      <c r="C417" s="8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107"/>
      <c r="AK417" s="107"/>
      <c r="AL417" s="107"/>
      <c r="AM417" s="107"/>
      <c r="AN417" s="107"/>
      <c r="AO417" s="107"/>
      <c r="AP417" s="107"/>
      <c r="AQ417" s="107"/>
      <c r="AR417" s="5"/>
      <c r="AS417" s="5"/>
    </row>
    <row r="418" spans="1:45" ht="15.75" customHeight="1" x14ac:dyDescent="0.25">
      <c r="A418" s="107"/>
      <c r="B418" s="8"/>
      <c r="C418" s="8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107"/>
      <c r="AK418" s="107"/>
      <c r="AL418" s="107"/>
      <c r="AM418" s="107"/>
      <c r="AN418" s="107"/>
      <c r="AO418" s="107"/>
      <c r="AP418" s="107"/>
      <c r="AQ418" s="107"/>
      <c r="AR418" s="5"/>
      <c r="AS418" s="5"/>
    </row>
    <row r="419" spans="1:45" ht="15.75" customHeight="1" x14ac:dyDescent="0.25">
      <c r="A419" s="107"/>
      <c r="B419" s="8"/>
      <c r="C419" s="8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107"/>
      <c r="AK419" s="107"/>
      <c r="AL419" s="107"/>
      <c r="AM419" s="107"/>
      <c r="AN419" s="107"/>
      <c r="AO419" s="107"/>
      <c r="AP419" s="107"/>
      <c r="AQ419" s="107"/>
      <c r="AR419" s="5"/>
      <c r="AS419" s="5"/>
    </row>
    <row r="420" spans="1:45" ht="15.75" customHeight="1" x14ac:dyDescent="0.25">
      <c r="A420" s="107"/>
      <c r="B420" s="8"/>
      <c r="C420" s="8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107"/>
      <c r="AK420" s="107"/>
      <c r="AL420" s="107"/>
      <c r="AM420" s="107"/>
      <c r="AN420" s="107"/>
      <c r="AO420" s="107"/>
      <c r="AP420" s="107"/>
      <c r="AQ420" s="107"/>
      <c r="AR420" s="5"/>
      <c r="AS420" s="5"/>
    </row>
    <row r="421" spans="1:45" ht="15.75" customHeight="1" x14ac:dyDescent="0.25">
      <c r="A421" s="107"/>
      <c r="B421" s="8"/>
      <c r="C421" s="8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107"/>
      <c r="AK421" s="107"/>
      <c r="AL421" s="107"/>
      <c r="AM421" s="107"/>
      <c r="AN421" s="107"/>
      <c r="AO421" s="107"/>
      <c r="AP421" s="107"/>
      <c r="AQ421" s="107"/>
      <c r="AR421" s="5"/>
      <c r="AS421" s="5"/>
    </row>
    <row r="422" spans="1:45" ht="15.75" customHeight="1" x14ac:dyDescent="0.25">
      <c r="A422" s="107"/>
      <c r="B422" s="8"/>
      <c r="C422" s="8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107"/>
      <c r="AK422" s="107"/>
      <c r="AL422" s="107"/>
      <c r="AM422" s="107"/>
      <c r="AN422" s="107"/>
      <c r="AO422" s="107"/>
      <c r="AP422" s="107"/>
      <c r="AQ422" s="107"/>
      <c r="AR422" s="5"/>
      <c r="AS422" s="5"/>
    </row>
    <row r="423" spans="1:45" ht="15.75" customHeight="1" x14ac:dyDescent="0.25">
      <c r="A423" s="107"/>
      <c r="B423" s="8"/>
      <c r="C423" s="8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107"/>
      <c r="AK423" s="107"/>
      <c r="AL423" s="107"/>
      <c r="AM423" s="107"/>
      <c r="AN423" s="107"/>
      <c r="AO423" s="107"/>
      <c r="AP423" s="107"/>
      <c r="AQ423" s="107"/>
      <c r="AR423" s="5"/>
      <c r="AS423" s="5"/>
    </row>
    <row r="424" spans="1:45" ht="15.75" customHeight="1" x14ac:dyDescent="0.25">
      <c r="A424" s="107"/>
      <c r="B424" s="8"/>
      <c r="C424" s="8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107"/>
      <c r="AK424" s="107"/>
      <c r="AL424" s="107"/>
      <c r="AM424" s="107"/>
      <c r="AN424" s="107"/>
      <c r="AO424" s="107"/>
      <c r="AP424" s="107"/>
      <c r="AQ424" s="107"/>
      <c r="AR424" s="5"/>
      <c r="AS424" s="5"/>
    </row>
    <row r="425" spans="1:45" ht="15.75" customHeight="1" x14ac:dyDescent="0.25">
      <c r="A425" s="107"/>
      <c r="B425" s="8"/>
      <c r="C425" s="8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107"/>
      <c r="AK425" s="107"/>
      <c r="AL425" s="107"/>
      <c r="AM425" s="107"/>
      <c r="AN425" s="107"/>
      <c r="AO425" s="107"/>
      <c r="AP425" s="107"/>
      <c r="AQ425" s="107"/>
      <c r="AR425" s="5"/>
      <c r="AS425" s="5"/>
    </row>
    <row r="426" spans="1:45" ht="15.75" customHeight="1" x14ac:dyDescent="0.25">
      <c r="A426" s="107"/>
      <c r="B426" s="8"/>
      <c r="C426" s="8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107"/>
      <c r="AK426" s="107"/>
      <c r="AL426" s="107"/>
      <c r="AM426" s="107"/>
      <c r="AN426" s="107"/>
      <c r="AO426" s="107"/>
      <c r="AP426" s="107"/>
      <c r="AQ426" s="107"/>
      <c r="AR426" s="5"/>
      <c r="AS426" s="5"/>
    </row>
    <row r="427" spans="1:45" ht="15.75" customHeight="1" x14ac:dyDescent="0.25">
      <c r="A427" s="107"/>
      <c r="B427" s="8"/>
      <c r="C427" s="8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107"/>
      <c r="AK427" s="107"/>
      <c r="AL427" s="107"/>
      <c r="AM427" s="107"/>
      <c r="AN427" s="107"/>
      <c r="AO427" s="107"/>
      <c r="AP427" s="107"/>
      <c r="AQ427" s="107"/>
      <c r="AR427" s="5"/>
      <c r="AS427" s="5"/>
    </row>
    <row r="428" spans="1:45" ht="15.75" customHeight="1" x14ac:dyDescent="0.25">
      <c r="A428" s="107"/>
      <c r="B428" s="8"/>
      <c r="C428" s="8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107"/>
      <c r="AK428" s="107"/>
      <c r="AL428" s="107"/>
      <c r="AM428" s="107"/>
      <c r="AN428" s="107"/>
      <c r="AO428" s="107"/>
      <c r="AP428" s="107"/>
      <c r="AQ428" s="107"/>
      <c r="AR428" s="5"/>
      <c r="AS428" s="5"/>
    </row>
    <row r="429" spans="1:45" ht="15.75" customHeight="1" x14ac:dyDescent="0.25">
      <c r="A429" s="107"/>
      <c r="B429" s="8"/>
      <c r="C429" s="8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107"/>
      <c r="AK429" s="107"/>
      <c r="AL429" s="107"/>
      <c r="AM429" s="107"/>
      <c r="AN429" s="107"/>
      <c r="AO429" s="107"/>
      <c r="AP429" s="107"/>
      <c r="AQ429" s="107"/>
      <c r="AR429" s="5"/>
      <c r="AS429" s="5"/>
    </row>
    <row r="430" spans="1:45" ht="15.75" customHeight="1" x14ac:dyDescent="0.25">
      <c r="A430" s="107"/>
      <c r="B430" s="8"/>
      <c r="C430" s="8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107"/>
      <c r="AK430" s="107"/>
      <c r="AL430" s="107"/>
      <c r="AM430" s="107"/>
      <c r="AN430" s="107"/>
      <c r="AO430" s="107"/>
      <c r="AP430" s="107"/>
      <c r="AQ430" s="107"/>
      <c r="AR430" s="5"/>
      <c r="AS430" s="5"/>
    </row>
    <row r="431" spans="1:45" ht="15.75" customHeight="1" x14ac:dyDescent="0.25">
      <c r="A431" s="107"/>
      <c r="B431" s="8"/>
      <c r="C431" s="8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107"/>
      <c r="AK431" s="107"/>
      <c r="AL431" s="107"/>
      <c r="AM431" s="107"/>
      <c r="AN431" s="107"/>
      <c r="AO431" s="107"/>
      <c r="AP431" s="107"/>
      <c r="AQ431" s="107"/>
      <c r="AR431" s="5"/>
      <c r="AS431" s="5"/>
    </row>
    <row r="432" spans="1:45" ht="15.75" customHeight="1" x14ac:dyDescent="0.25">
      <c r="A432" s="107"/>
      <c r="B432" s="8"/>
      <c r="C432" s="8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107"/>
      <c r="AK432" s="107"/>
      <c r="AL432" s="107"/>
      <c r="AM432" s="107"/>
      <c r="AN432" s="107"/>
      <c r="AO432" s="107"/>
      <c r="AP432" s="107"/>
      <c r="AQ432" s="107"/>
      <c r="AR432" s="5"/>
      <c r="AS432" s="5"/>
    </row>
    <row r="433" spans="1:45" ht="15.75" customHeight="1" x14ac:dyDescent="0.25">
      <c r="A433" s="107"/>
      <c r="B433" s="8"/>
      <c r="C433" s="8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107"/>
      <c r="AK433" s="107"/>
      <c r="AL433" s="107"/>
      <c r="AM433" s="107"/>
      <c r="AN433" s="107"/>
      <c r="AO433" s="107"/>
      <c r="AP433" s="107"/>
      <c r="AQ433" s="107"/>
      <c r="AR433" s="5"/>
      <c r="AS433" s="5"/>
    </row>
    <row r="434" spans="1:45" ht="15.75" customHeight="1" x14ac:dyDescent="0.25">
      <c r="A434" s="107"/>
      <c r="B434" s="8"/>
      <c r="C434" s="8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107"/>
      <c r="AK434" s="107"/>
      <c r="AL434" s="107"/>
      <c r="AM434" s="107"/>
      <c r="AN434" s="107"/>
      <c r="AO434" s="107"/>
      <c r="AP434" s="107"/>
      <c r="AQ434" s="107"/>
      <c r="AR434" s="5"/>
      <c r="AS434" s="5"/>
    </row>
    <row r="435" spans="1:45" ht="15.75" customHeight="1" x14ac:dyDescent="0.25">
      <c r="A435" s="107"/>
      <c r="B435" s="8"/>
      <c r="C435" s="8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107"/>
      <c r="AK435" s="107"/>
      <c r="AL435" s="107"/>
      <c r="AM435" s="107"/>
      <c r="AN435" s="107"/>
      <c r="AO435" s="107"/>
      <c r="AP435" s="107"/>
      <c r="AQ435" s="107"/>
      <c r="AR435" s="5"/>
      <c r="AS435" s="5"/>
    </row>
    <row r="436" spans="1:45" ht="15.75" customHeight="1" x14ac:dyDescent="0.25">
      <c r="A436" s="107"/>
      <c r="B436" s="8"/>
      <c r="C436" s="8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107"/>
      <c r="AK436" s="107"/>
      <c r="AL436" s="107"/>
      <c r="AM436" s="107"/>
      <c r="AN436" s="107"/>
      <c r="AO436" s="107"/>
      <c r="AP436" s="107"/>
      <c r="AQ436" s="107"/>
      <c r="AR436" s="5"/>
      <c r="AS436" s="5"/>
    </row>
    <row r="437" spans="1:45" ht="15.75" customHeight="1" x14ac:dyDescent="0.25">
      <c r="A437" s="107"/>
      <c r="B437" s="8"/>
      <c r="C437" s="8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107"/>
      <c r="AK437" s="107"/>
      <c r="AL437" s="107"/>
      <c r="AM437" s="107"/>
      <c r="AN437" s="107"/>
      <c r="AO437" s="107"/>
      <c r="AP437" s="107"/>
      <c r="AQ437" s="107"/>
      <c r="AR437" s="5"/>
      <c r="AS437" s="5"/>
    </row>
    <row r="438" spans="1:45" ht="15.75" customHeight="1" x14ac:dyDescent="0.25">
      <c r="A438" s="107"/>
      <c r="B438" s="8"/>
      <c r="C438" s="8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107"/>
      <c r="AK438" s="107"/>
      <c r="AL438" s="107"/>
      <c r="AM438" s="107"/>
      <c r="AN438" s="107"/>
      <c r="AO438" s="107"/>
      <c r="AP438" s="107"/>
      <c r="AQ438" s="107"/>
      <c r="AR438" s="5"/>
      <c r="AS438" s="5"/>
    </row>
    <row r="439" spans="1:45" ht="15.75" customHeight="1" x14ac:dyDescent="0.25">
      <c r="A439" s="107"/>
      <c r="B439" s="8"/>
      <c r="C439" s="8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107"/>
      <c r="AK439" s="107"/>
      <c r="AL439" s="107"/>
      <c r="AM439" s="107"/>
      <c r="AN439" s="107"/>
      <c r="AO439" s="107"/>
      <c r="AP439" s="107"/>
      <c r="AQ439" s="107"/>
      <c r="AR439" s="5"/>
      <c r="AS439" s="5"/>
    </row>
    <row r="440" spans="1:45" ht="15.75" customHeight="1" x14ac:dyDescent="0.25">
      <c r="A440" s="107"/>
      <c r="B440" s="8"/>
      <c r="C440" s="8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107"/>
      <c r="AK440" s="107"/>
      <c r="AL440" s="107"/>
      <c r="AM440" s="107"/>
      <c r="AN440" s="107"/>
      <c r="AO440" s="107"/>
      <c r="AP440" s="107"/>
      <c r="AQ440" s="107"/>
      <c r="AR440" s="5"/>
      <c r="AS440" s="5"/>
    </row>
    <row r="441" spans="1:45" ht="15.75" customHeight="1" x14ac:dyDescent="0.25">
      <c r="A441" s="107"/>
      <c r="B441" s="8"/>
      <c r="C441" s="8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107"/>
      <c r="AK441" s="107"/>
      <c r="AL441" s="107"/>
      <c r="AM441" s="107"/>
      <c r="AN441" s="107"/>
      <c r="AO441" s="107"/>
      <c r="AP441" s="107"/>
      <c r="AQ441" s="107"/>
      <c r="AR441" s="5"/>
      <c r="AS441" s="5"/>
    </row>
    <row r="442" spans="1:45" ht="15.75" customHeight="1" x14ac:dyDescent="0.25">
      <c r="A442" s="107"/>
      <c r="B442" s="8"/>
      <c r="C442" s="8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107"/>
      <c r="AK442" s="107"/>
      <c r="AL442" s="107"/>
      <c r="AM442" s="107"/>
      <c r="AN442" s="107"/>
      <c r="AO442" s="107"/>
      <c r="AP442" s="107"/>
      <c r="AQ442" s="107"/>
      <c r="AR442" s="5"/>
      <c r="AS442" s="5"/>
    </row>
    <row r="443" spans="1:45" ht="15.75" customHeight="1" x14ac:dyDescent="0.25">
      <c r="A443" s="107"/>
      <c r="B443" s="8"/>
      <c r="C443" s="8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107"/>
      <c r="AK443" s="107"/>
      <c r="AL443" s="107"/>
      <c r="AM443" s="107"/>
      <c r="AN443" s="107"/>
      <c r="AO443" s="107"/>
      <c r="AP443" s="107"/>
      <c r="AQ443" s="107"/>
      <c r="AR443" s="5"/>
      <c r="AS443" s="5"/>
    </row>
    <row r="444" spans="1:45" ht="15.75" customHeight="1" x14ac:dyDescent="0.25">
      <c r="A444" s="107"/>
      <c r="B444" s="8"/>
      <c r="C444" s="8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107"/>
      <c r="AK444" s="107"/>
      <c r="AL444" s="107"/>
      <c r="AM444" s="107"/>
      <c r="AN444" s="107"/>
      <c r="AO444" s="107"/>
      <c r="AP444" s="107"/>
      <c r="AQ444" s="107"/>
      <c r="AR444" s="5"/>
      <c r="AS444" s="5"/>
    </row>
    <row r="445" spans="1:45" ht="15.75" customHeight="1" x14ac:dyDescent="0.25">
      <c r="A445" s="107"/>
      <c r="B445" s="8"/>
      <c r="C445" s="8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107"/>
      <c r="AK445" s="107"/>
      <c r="AL445" s="107"/>
      <c r="AM445" s="107"/>
      <c r="AN445" s="107"/>
      <c r="AO445" s="107"/>
      <c r="AP445" s="107"/>
      <c r="AQ445" s="107"/>
      <c r="AR445" s="5"/>
      <c r="AS445" s="5"/>
    </row>
    <row r="446" spans="1:45" ht="15.75" customHeight="1" x14ac:dyDescent="0.25">
      <c r="A446" s="107"/>
      <c r="B446" s="8"/>
      <c r="C446" s="8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107"/>
      <c r="AK446" s="107"/>
      <c r="AL446" s="107"/>
      <c r="AM446" s="107"/>
      <c r="AN446" s="107"/>
      <c r="AO446" s="107"/>
      <c r="AP446" s="107"/>
      <c r="AQ446" s="107"/>
      <c r="AR446" s="5"/>
      <c r="AS446" s="5"/>
    </row>
    <row r="447" spans="1:45" ht="15.75" customHeight="1" x14ac:dyDescent="0.25">
      <c r="A447" s="107"/>
      <c r="B447" s="8"/>
      <c r="C447" s="8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107"/>
      <c r="AK447" s="107"/>
      <c r="AL447" s="107"/>
      <c r="AM447" s="107"/>
      <c r="AN447" s="107"/>
      <c r="AO447" s="107"/>
      <c r="AP447" s="107"/>
      <c r="AQ447" s="107"/>
      <c r="AR447" s="5"/>
      <c r="AS447" s="5"/>
    </row>
    <row r="448" spans="1:45" ht="15.75" customHeight="1" x14ac:dyDescent="0.25">
      <c r="A448" s="107"/>
      <c r="B448" s="8"/>
      <c r="C448" s="8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107"/>
      <c r="AK448" s="107"/>
      <c r="AL448" s="107"/>
      <c r="AM448" s="107"/>
      <c r="AN448" s="107"/>
      <c r="AO448" s="107"/>
      <c r="AP448" s="107"/>
      <c r="AQ448" s="107"/>
      <c r="AR448" s="5"/>
      <c r="AS448" s="5"/>
    </row>
    <row r="449" spans="1:45" ht="15.75" customHeight="1" x14ac:dyDescent="0.25">
      <c r="A449" s="107"/>
      <c r="B449" s="8"/>
      <c r="C449" s="8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107"/>
      <c r="AK449" s="107"/>
      <c r="AL449" s="107"/>
      <c r="AM449" s="107"/>
      <c r="AN449" s="107"/>
      <c r="AO449" s="107"/>
      <c r="AP449" s="107"/>
      <c r="AQ449" s="107"/>
      <c r="AR449" s="5"/>
      <c r="AS449" s="5"/>
    </row>
    <row r="450" spans="1:45" ht="15.75" customHeight="1" x14ac:dyDescent="0.25">
      <c r="A450" s="107"/>
      <c r="B450" s="8"/>
      <c r="C450" s="8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107"/>
      <c r="AK450" s="107"/>
      <c r="AL450" s="107"/>
      <c r="AM450" s="107"/>
      <c r="AN450" s="107"/>
      <c r="AO450" s="107"/>
      <c r="AP450" s="107"/>
      <c r="AQ450" s="107"/>
      <c r="AR450" s="5"/>
      <c r="AS450" s="5"/>
    </row>
    <row r="451" spans="1:45" ht="15.75" customHeight="1" x14ac:dyDescent="0.25">
      <c r="A451" s="107"/>
      <c r="B451" s="8"/>
      <c r="C451" s="8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107"/>
      <c r="AK451" s="107"/>
      <c r="AL451" s="107"/>
      <c r="AM451" s="107"/>
      <c r="AN451" s="107"/>
      <c r="AO451" s="107"/>
      <c r="AP451" s="107"/>
      <c r="AQ451" s="107"/>
      <c r="AR451" s="5"/>
      <c r="AS451" s="5"/>
    </row>
    <row r="452" spans="1:45" ht="15.75" customHeight="1" x14ac:dyDescent="0.25">
      <c r="A452" s="107"/>
      <c r="B452" s="8"/>
      <c r="C452" s="8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107"/>
      <c r="AK452" s="107"/>
      <c r="AL452" s="107"/>
      <c r="AM452" s="107"/>
      <c r="AN452" s="107"/>
      <c r="AO452" s="107"/>
      <c r="AP452" s="107"/>
      <c r="AQ452" s="107"/>
      <c r="AR452" s="5"/>
      <c r="AS452" s="5"/>
    </row>
    <row r="453" spans="1:45" ht="15.75" customHeight="1" x14ac:dyDescent="0.25">
      <c r="A453" s="107"/>
      <c r="B453" s="8"/>
      <c r="C453" s="8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107"/>
      <c r="AK453" s="107"/>
      <c r="AL453" s="107"/>
      <c r="AM453" s="107"/>
      <c r="AN453" s="107"/>
      <c r="AO453" s="107"/>
      <c r="AP453" s="107"/>
      <c r="AQ453" s="107"/>
      <c r="AR453" s="5"/>
      <c r="AS453" s="5"/>
    </row>
    <row r="454" spans="1:45" ht="15.75" customHeight="1" x14ac:dyDescent="0.25">
      <c r="A454" s="107"/>
      <c r="B454" s="8"/>
      <c r="C454" s="8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107"/>
      <c r="AK454" s="107"/>
      <c r="AL454" s="107"/>
      <c r="AM454" s="107"/>
      <c r="AN454" s="107"/>
      <c r="AO454" s="107"/>
      <c r="AP454" s="107"/>
      <c r="AQ454" s="107"/>
      <c r="AR454" s="5"/>
      <c r="AS454" s="5"/>
    </row>
    <row r="455" spans="1:45" ht="15.75" customHeight="1" x14ac:dyDescent="0.25">
      <c r="A455" s="107"/>
      <c r="B455" s="8"/>
      <c r="C455" s="8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107"/>
      <c r="AK455" s="107"/>
      <c r="AL455" s="107"/>
      <c r="AM455" s="107"/>
      <c r="AN455" s="107"/>
      <c r="AO455" s="107"/>
      <c r="AP455" s="107"/>
      <c r="AQ455" s="107"/>
      <c r="AR455" s="5"/>
      <c r="AS455" s="5"/>
    </row>
    <row r="456" spans="1:45" ht="15.75" customHeight="1" x14ac:dyDescent="0.25">
      <c r="A456" s="107"/>
      <c r="B456" s="8"/>
      <c r="C456" s="8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107"/>
      <c r="AK456" s="107"/>
      <c r="AL456" s="107"/>
      <c r="AM456" s="107"/>
      <c r="AN456" s="107"/>
      <c r="AO456" s="107"/>
      <c r="AP456" s="107"/>
      <c r="AQ456" s="107"/>
      <c r="AR456" s="5"/>
      <c r="AS456" s="5"/>
    </row>
    <row r="457" spans="1:45" ht="15.75" customHeight="1" x14ac:dyDescent="0.25">
      <c r="A457" s="107"/>
      <c r="B457" s="8"/>
      <c r="C457" s="8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107"/>
      <c r="AK457" s="107"/>
      <c r="AL457" s="107"/>
      <c r="AM457" s="107"/>
      <c r="AN457" s="107"/>
      <c r="AO457" s="107"/>
      <c r="AP457" s="107"/>
      <c r="AQ457" s="107"/>
      <c r="AR457" s="5"/>
      <c r="AS457" s="5"/>
    </row>
    <row r="458" spans="1:45" ht="15.75" customHeight="1" x14ac:dyDescent="0.25">
      <c r="A458" s="107"/>
      <c r="B458" s="8"/>
      <c r="C458" s="8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107"/>
      <c r="AK458" s="107"/>
      <c r="AL458" s="107"/>
      <c r="AM458" s="107"/>
      <c r="AN458" s="107"/>
      <c r="AO458" s="107"/>
      <c r="AP458" s="107"/>
      <c r="AQ458" s="107"/>
      <c r="AR458" s="5"/>
      <c r="AS458" s="5"/>
    </row>
    <row r="459" spans="1:45" ht="15.75" customHeight="1" x14ac:dyDescent="0.25">
      <c r="A459" s="107"/>
      <c r="B459" s="8"/>
      <c r="C459" s="8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107"/>
      <c r="AK459" s="107"/>
      <c r="AL459" s="107"/>
      <c r="AM459" s="107"/>
      <c r="AN459" s="107"/>
      <c r="AO459" s="107"/>
      <c r="AP459" s="107"/>
      <c r="AQ459" s="107"/>
      <c r="AR459" s="5"/>
      <c r="AS459" s="5"/>
    </row>
    <row r="460" spans="1:45" ht="15.75" customHeight="1" x14ac:dyDescent="0.25">
      <c r="A460" s="107"/>
      <c r="B460" s="8"/>
      <c r="C460" s="8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107"/>
      <c r="AK460" s="107"/>
      <c r="AL460" s="107"/>
      <c r="AM460" s="107"/>
      <c r="AN460" s="107"/>
      <c r="AO460" s="107"/>
      <c r="AP460" s="107"/>
      <c r="AQ460" s="107"/>
      <c r="AR460" s="5"/>
      <c r="AS460" s="5"/>
    </row>
    <row r="461" spans="1:45" ht="15.75" customHeight="1" x14ac:dyDescent="0.25">
      <c r="A461" s="107"/>
      <c r="B461" s="8"/>
      <c r="C461" s="8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107"/>
      <c r="AK461" s="107"/>
      <c r="AL461" s="107"/>
      <c r="AM461" s="107"/>
      <c r="AN461" s="107"/>
      <c r="AO461" s="107"/>
      <c r="AP461" s="107"/>
      <c r="AQ461" s="107"/>
      <c r="AR461" s="5"/>
      <c r="AS461" s="5"/>
    </row>
    <row r="462" spans="1:45" ht="15.75" customHeight="1" x14ac:dyDescent="0.25">
      <c r="A462" s="107"/>
      <c r="B462" s="8"/>
      <c r="C462" s="8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107"/>
      <c r="AK462" s="107"/>
      <c r="AL462" s="107"/>
      <c r="AM462" s="107"/>
      <c r="AN462" s="107"/>
      <c r="AO462" s="107"/>
      <c r="AP462" s="107"/>
      <c r="AQ462" s="107"/>
      <c r="AR462" s="5"/>
      <c r="AS462" s="5"/>
    </row>
    <row r="463" spans="1:45" ht="15.75" customHeight="1" x14ac:dyDescent="0.25">
      <c r="A463" s="107"/>
      <c r="B463" s="8"/>
      <c r="C463" s="8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107"/>
      <c r="AK463" s="107"/>
      <c r="AL463" s="107"/>
      <c r="AM463" s="107"/>
      <c r="AN463" s="107"/>
      <c r="AO463" s="107"/>
      <c r="AP463" s="107"/>
      <c r="AQ463" s="107"/>
      <c r="AR463" s="5"/>
      <c r="AS463" s="5"/>
    </row>
    <row r="464" spans="1:45" ht="15.75" customHeight="1" x14ac:dyDescent="0.25">
      <c r="A464" s="107"/>
      <c r="B464" s="8"/>
      <c r="C464" s="8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107"/>
      <c r="AK464" s="107"/>
      <c r="AL464" s="107"/>
      <c r="AM464" s="107"/>
      <c r="AN464" s="107"/>
      <c r="AO464" s="107"/>
      <c r="AP464" s="107"/>
      <c r="AQ464" s="107"/>
      <c r="AR464" s="5"/>
      <c r="AS464" s="5"/>
    </row>
    <row r="465" spans="1:45" ht="15.75" customHeight="1" x14ac:dyDescent="0.25">
      <c r="A465" s="107"/>
      <c r="B465" s="8"/>
      <c r="C465" s="8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107"/>
      <c r="AK465" s="107"/>
      <c r="AL465" s="107"/>
      <c r="AM465" s="107"/>
      <c r="AN465" s="107"/>
      <c r="AO465" s="107"/>
      <c r="AP465" s="107"/>
      <c r="AQ465" s="107"/>
      <c r="AR465" s="5"/>
      <c r="AS465" s="5"/>
    </row>
    <row r="466" spans="1:45" ht="15.75" customHeight="1" x14ac:dyDescent="0.25">
      <c r="A466" s="107"/>
      <c r="B466" s="8"/>
      <c r="C466" s="8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107"/>
      <c r="AK466" s="107"/>
      <c r="AL466" s="107"/>
      <c r="AM466" s="107"/>
      <c r="AN466" s="107"/>
      <c r="AO466" s="107"/>
      <c r="AP466" s="107"/>
      <c r="AQ466" s="107"/>
      <c r="AR466" s="5"/>
      <c r="AS466" s="5"/>
    </row>
    <row r="467" spans="1:45" ht="15.75" customHeight="1" x14ac:dyDescent="0.25">
      <c r="A467" s="107"/>
      <c r="B467" s="8"/>
      <c r="C467" s="8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107"/>
      <c r="AK467" s="107"/>
      <c r="AL467" s="107"/>
      <c r="AM467" s="107"/>
      <c r="AN467" s="107"/>
      <c r="AO467" s="107"/>
      <c r="AP467" s="107"/>
      <c r="AQ467" s="107"/>
      <c r="AR467" s="5"/>
      <c r="AS467" s="5"/>
    </row>
    <row r="468" spans="1:45" ht="15.75" customHeight="1" x14ac:dyDescent="0.25">
      <c r="A468" s="107"/>
      <c r="B468" s="8"/>
      <c r="C468" s="8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107"/>
      <c r="AK468" s="107"/>
      <c r="AL468" s="107"/>
      <c r="AM468" s="107"/>
      <c r="AN468" s="107"/>
      <c r="AO468" s="107"/>
      <c r="AP468" s="107"/>
      <c r="AQ468" s="107"/>
      <c r="AR468" s="5"/>
      <c r="AS468" s="5"/>
    </row>
    <row r="469" spans="1:45" ht="15.75" customHeight="1" x14ac:dyDescent="0.25">
      <c r="A469" s="107"/>
      <c r="B469" s="8"/>
      <c r="C469" s="8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107"/>
      <c r="AK469" s="107"/>
      <c r="AL469" s="107"/>
      <c r="AM469" s="107"/>
      <c r="AN469" s="107"/>
      <c r="AO469" s="107"/>
      <c r="AP469" s="107"/>
      <c r="AQ469" s="107"/>
      <c r="AR469" s="5"/>
      <c r="AS469" s="5"/>
    </row>
    <row r="470" spans="1:45" ht="15.75" customHeight="1" x14ac:dyDescent="0.25">
      <c r="A470" s="107"/>
      <c r="B470" s="8"/>
      <c r="C470" s="8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107"/>
      <c r="AK470" s="107"/>
      <c r="AL470" s="107"/>
      <c r="AM470" s="107"/>
      <c r="AN470" s="107"/>
      <c r="AO470" s="107"/>
      <c r="AP470" s="107"/>
      <c r="AQ470" s="107"/>
      <c r="AR470" s="5"/>
      <c r="AS470" s="5"/>
    </row>
    <row r="471" spans="1:45" ht="15.75" customHeight="1" x14ac:dyDescent="0.25">
      <c r="A471" s="107"/>
      <c r="B471" s="8"/>
      <c r="C471" s="8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107"/>
      <c r="AK471" s="107"/>
      <c r="AL471" s="107"/>
      <c r="AM471" s="107"/>
      <c r="AN471" s="107"/>
      <c r="AO471" s="107"/>
      <c r="AP471" s="107"/>
      <c r="AQ471" s="107"/>
      <c r="AR471" s="5"/>
      <c r="AS471" s="5"/>
    </row>
    <row r="472" spans="1:45" ht="15.75" customHeight="1" x14ac:dyDescent="0.25">
      <c r="A472" s="107"/>
      <c r="B472" s="8"/>
      <c r="C472" s="8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107"/>
      <c r="AK472" s="107"/>
      <c r="AL472" s="107"/>
      <c r="AM472" s="107"/>
      <c r="AN472" s="107"/>
      <c r="AO472" s="107"/>
      <c r="AP472" s="107"/>
      <c r="AQ472" s="107"/>
      <c r="AR472" s="5"/>
      <c r="AS472" s="5"/>
    </row>
    <row r="473" spans="1:45" ht="15.75" customHeight="1" x14ac:dyDescent="0.25">
      <c r="A473" s="107"/>
      <c r="B473" s="8"/>
      <c r="C473" s="8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107"/>
      <c r="AK473" s="107"/>
      <c r="AL473" s="107"/>
      <c r="AM473" s="107"/>
      <c r="AN473" s="107"/>
      <c r="AO473" s="107"/>
      <c r="AP473" s="107"/>
      <c r="AQ473" s="107"/>
      <c r="AR473" s="5"/>
      <c r="AS473" s="5"/>
    </row>
    <row r="474" spans="1:45" ht="15.75" customHeight="1" x14ac:dyDescent="0.25">
      <c r="A474" s="107"/>
      <c r="B474" s="8"/>
      <c r="C474" s="8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107"/>
      <c r="AK474" s="107"/>
      <c r="AL474" s="107"/>
      <c r="AM474" s="107"/>
      <c r="AN474" s="107"/>
      <c r="AO474" s="107"/>
      <c r="AP474" s="107"/>
      <c r="AQ474" s="107"/>
      <c r="AR474" s="5"/>
      <c r="AS474" s="5"/>
    </row>
    <row r="475" spans="1:45" ht="15.75" customHeight="1" x14ac:dyDescent="0.25">
      <c r="A475" s="107"/>
      <c r="B475" s="8"/>
      <c r="C475" s="8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107"/>
      <c r="AK475" s="107"/>
      <c r="AL475" s="107"/>
      <c r="AM475" s="107"/>
      <c r="AN475" s="107"/>
      <c r="AO475" s="107"/>
      <c r="AP475" s="107"/>
      <c r="AQ475" s="107"/>
      <c r="AR475" s="5"/>
      <c r="AS475" s="5"/>
    </row>
    <row r="476" spans="1:45" ht="15.75" customHeight="1" x14ac:dyDescent="0.25">
      <c r="A476" s="107"/>
      <c r="B476" s="8"/>
      <c r="C476" s="8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107"/>
      <c r="AK476" s="107"/>
      <c r="AL476" s="107"/>
      <c r="AM476" s="107"/>
      <c r="AN476" s="107"/>
      <c r="AO476" s="107"/>
      <c r="AP476" s="107"/>
      <c r="AQ476" s="107"/>
      <c r="AR476" s="5"/>
      <c r="AS476" s="5"/>
    </row>
    <row r="477" spans="1:45" ht="15.75" customHeight="1" x14ac:dyDescent="0.25">
      <c r="A477" s="107"/>
      <c r="B477" s="8"/>
      <c r="C477" s="8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107"/>
      <c r="AK477" s="107"/>
      <c r="AL477" s="107"/>
      <c r="AM477" s="107"/>
      <c r="AN477" s="107"/>
      <c r="AO477" s="107"/>
      <c r="AP477" s="107"/>
      <c r="AQ477" s="107"/>
      <c r="AR477" s="5"/>
      <c r="AS477" s="5"/>
    </row>
    <row r="478" spans="1:45" ht="15.75" customHeight="1" x14ac:dyDescent="0.25">
      <c r="A478" s="107"/>
      <c r="B478" s="8"/>
      <c r="C478" s="8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107"/>
      <c r="AK478" s="107"/>
      <c r="AL478" s="107"/>
      <c r="AM478" s="107"/>
      <c r="AN478" s="107"/>
      <c r="AO478" s="107"/>
      <c r="AP478" s="107"/>
      <c r="AQ478" s="107"/>
      <c r="AR478" s="5"/>
      <c r="AS478" s="5"/>
    </row>
    <row r="479" spans="1:45" ht="15.75" customHeight="1" x14ac:dyDescent="0.25">
      <c r="A479" s="107"/>
      <c r="B479" s="8"/>
      <c r="C479" s="8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107"/>
      <c r="AK479" s="107"/>
      <c r="AL479" s="107"/>
      <c r="AM479" s="107"/>
      <c r="AN479" s="107"/>
      <c r="AO479" s="107"/>
      <c r="AP479" s="107"/>
      <c r="AQ479" s="107"/>
      <c r="AR479" s="5"/>
      <c r="AS479" s="5"/>
    </row>
    <row r="480" spans="1:45" ht="15.75" customHeight="1" x14ac:dyDescent="0.25">
      <c r="A480" s="107"/>
      <c r="B480" s="8"/>
      <c r="C480" s="8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107"/>
      <c r="AK480" s="107"/>
      <c r="AL480" s="107"/>
      <c r="AM480" s="107"/>
      <c r="AN480" s="107"/>
      <c r="AO480" s="107"/>
      <c r="AP480" s="107"/>
      <c r="AQ480" s="107"/>
      <c r="AR480" s="5"/>
      <c r="AS480" s="5"/>
    </row>
    <row r="481" spans="1:45" ht="15.75" customHeight="1" x14ac:dyDescent="0.25">
      <c r="A481" s="107"/>
      <c r="B481" s="8"/>
      <c r="C481" s="8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107"/>
      <c r="AK481" s="107"/>
      <c r="AL481" s="107"/>
      <c r="AM481" s="107"/>
      <c r="AN481" s="107"/>
      <c r="AO481" s="107"/>
      <c r="AP481" s="107"/>
      <c r="AQ481" s="107"/>
      <c r="AR481" s="5"/>
      <c r="AS481" s="5"/>
    </row>
    <row r="482" spans="1:45" ht="15.75" customHeight="1" x14ac:dyDescent="0.25">
      <c r="A482" s="107"/>
      <c r="B482" s="8"/>
      <c r="C482" s="8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107"/>
      <c r="AK482" s="107"/>
      <c r="AL482" s="107"/>
      <c r="AM482" s="107"/>
      <c r="AN482" s="107"/>
      <c r="AO482" s="107"/>
      <c r="AP482" s="107"/>
      <c r="AQ482" s="107"/>
      <c r="AR482" s="5"/>
      <c r="AS482" s="5"/>
    </row>
    <row r="483" spans="1:45" ht="15.75" customHeight="1" x14ac:dyDescent="0.25">
      <c r="A483" s="107"/>
      <c r="B483" s="8"/>
      <c r="C483" s="8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107"/>
      <c r="AK483" s="107"/>
      <c r="AL483" s="107"/>
      <c r="AM483" s="107"/>
      <c r="AN483" s="107"/>
      <c r="AO483" s="107"/>
      <c r="AP483" s="107"/>
      <c r="AQ483" s="107"/>
      <c r="AR483" s="5"/>
      <c r="AS483" s="5"/>
    </row>
    <row r="484" spans="1:45" ht="15.75" customHeight="1" x14ac:dyDescent="0.25">
      <c r="A484" s="107"/>
      <c r="B484" s="8"/>
      <c r="C484" s="8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107"/>
      <c r="AK484" s="107"/>
      <c r="AL484" s="107"/>
      <c r="AM484" s="107"/>
      <c r="AN484" s="107"/>
      <c r="AO484" s="107"/>
      <c r="AP484" s="107"/>
      <c r="AQ484" s="107"/>
      <c r="AR484" s="5"/>
      <c r="AS484" s="5"/>
    </row>
    <row r="485" spans="1:45" ht="15.75" customHeight="1" x14ac:dyDescent="0.25">
      <c r="A485" s="107"/>
      <c r="B485" s="8"/>
      <c r="C485" s="8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107"/>
      <c r="AK485" s="107"/>
      <c r="AL485" s="107"/>
      <c r="AM485" s="107"/>
      <c r="AN485" s="107"/>
      <c r="AO485" s="107"/>
      <c r="AP485" s="107"/>
      <c r="AQ485" s="107"/>
      <c r="AR485" s="5"/>
      <c r="AS485" s="5"/>
    </row>
    <row r="486" spans="1:45" ht="15.75" customHeight="1" x14ac:dyDescent="0.25">
      <c r="A486" s="107"/>
      <c r="B486" s="8"/>
      <c r="C486" s="8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107"/>
      <c r="AK486" s="107"/>
      <c r="AL486" s="107"/>
      <c r="AM486" s="107"/>
      <c r="AN486" s="107"/>
      <c r="AO486" s="107"/>
      <c r="AP486" s="107"/>
      <c r="AQ486" s="107"/>
      <c r="AR486" s="5"/>
      <c r="AS486" s="5"/>
    </row>
    <row r="487" spans="1:45" ht="15.75" customHeight="1" x14ac:dyDescent="0.25">
      <c r="A487" s="107"/>
      <c r="B487" s="8"/>
      <c r="C487" s="8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107"/>
      <c r="AK487" s="107"/>
      <c r="AL487" s="107"/>
      <c r="AM487" s="107"/>
      <c r="AN487" s="107"/>
      <c r="AO487" s="107"/>
      <c r="AP487" s="107"/>
      <c r="AQ487" s="107"/>
      <c r="AR487" s="5"/>
      <c r="AS487" s="5"/>
    </row>
    <row r="488" spans="1:45" ht="15.75" customHeight="1" x14ac:dyDescent="0.25">
      <c r="A488" s="107"/>
      <c r="B488" s="8"/>
      <c r="C488" s="8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107"/>
      <c r="AK488" s="107"/>
      <c r="AL488" s="107"/>
      <c r="AM488" s="107"/>
      <c r="AN488" s="107"/>
      <c r="AO488" s="107"/>
      <c r="AP488" s="107"/>
      <c r="AQ488" s="107"/>
      <c r="AR488" s="5"/>
      <c r="AS488" s="5"/>
    </row>
    <row r="489" spans="1:45" ht="15.75" customHeight="1" x14ac:dyDescent="0.25">
      <c r="A489" s="107"/>
      <c r="B489" s="8"/>
      <c r="C489" s="8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107"/>
      <c r="AK489" s="107"/>
      <c r="AL489" s="107"/>
      <c r="AM489" s="107"/>
      <c r="AN489" s="107"/>
      <c r="AO489" s="107"/>
      <c r="AP489" s="107"/>
      <c r="AQ489" s="107"/>
      <c r="AR489" s="5"/>
      <c r="AS489" s="5"/>
    </row>
    <row r="490" spans="1:45" ht="15.75" customHeight="1" x14ac:dyDescent="0.25">
      <c r="A490" s="107"/>
      <c r="B490" s="8"/>
      <c r="C490" s="8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107"/>
      <c r="AK490" s="107"/>
      <c r="AL490" s="107"/>
      <c r="AM490" s="107"/>
      <c r="AN490" s="107"/>
      <c r="AO490" s="107"/>
      <c r="AP490" s="107"/>
      <c r="AQ490" s="107"/>
      <c r="AR490" s="5"/>
      <c r="AS490" s="5"/>
    </row>
    <row r="491" spans="1:45" ht="15.75" customHeight="1" x14ac:dyDescent="0.25">
      <c r="A491" s="107"/>
      <c r="B491" s="8"/>
      <c r="C491" s="8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107"/>
      <c r="AK491" s="107"/>
      <c r="AL491" s="107"/>
      <c r="AM491" s="107"/>
      <c r="AN491" s="107"/>
      <c r="AO491" s="107"/>
      <c r="AP491" s="107"/>
      <c r="AQ491" s="107"/>
      <c r="AR491" s="5"/>
      <c r="AS491" s="5"/>
    </row>
    <row r="492" spans="1:45" ht="15.75" customHeight="1" x14ac:dyDescent="0.25">
      <c r="A492" s="107"/>
      <c r="B492" s="8"/>
      <c r="C492" s="8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107"/>
      <c r="AK492" s="107"/>
      <c r="AL492" s="107"/>
      <c r="AM492" s="107"/>
      <c r="AN492" s="107"/>
      <c r="AO492" s="107"/>
      <c r="AP492" s="107"/>
      <c r="AQ492" s="107"/>
      <c r="AR492" s="5"/>
      <c r="AS492" s="5"/>
    </row>
    <row r="493" spans="1:45" ht="15.75" customHeight="1" x14ac:dyDescent="0.25">
      <c r="A493" s="107"/>
      <c r="B493" s="8"/>
      <c r="C493" s="8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107"/>
      <c r="AK493" s="107"/>
      <c r="AL493" s="107"/>
      <c r="AM493" s="107"/>
      <c r="AN493" s="107"/>
      <c r="AO493" s="107"/>
      <c r="AP493" s="107"/>
      <c r="AQ493" s="107"/>
      <c r="AR493" s="5"/>
      <c r="AS493" s="5"/>
    </row>
    <row r="494" spans="1:45" ht="15.75" customHeight="1" x14ac:dyDescent="0.25">
      <c r="A494" s="107"/>
      <c r="B494" s="8"/>
      <c r="C494" s="8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107"/>
      <c r="AK494" s="107"/>
      <c r="AL494" s="107"/>
      <c r="AM494" s="107"/>
      <c r="AN494" s="107"/>
      <c r="AO494" s="107"/>
      <c r="AP494" s="107"/>
      <c r="AQ494" s="107"/>
      <c r="AR494" s="5"/>
      <c r="AS494" s="5"/>
    </row>
    <row r="495" spans="1:45" ht="15.75" customHeight="1" x14ac:dyDescent="0.25">
      <c r="A495" s="107"/>
      <c r="B495" s="8"/>
      <c r="C495" s="8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107"/>
      <c r="AK495" s="107"/>
      <c r="AL495" s="107"/>
      <c r="AM495" s="107"/>
      <c r="AN495" s="107"/>
      <c r="AO495" s="107"/>
      <c r="AP495" s="107"/>
      <c r="AQ495" s="107"/>
      <c r="AR495" s="5"/>
      <c r="AS495" s="5"/>
    </row>
    <row r="496" spans="1:45" ht="15.75" customHeight="1" x14ac:dyDescent="0.25">
      <c r="A496" s="107"/>
      <c r="B496" s="8"/>
      <c r="C496" s="8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107"/>
      <c r="AK496" s="107"/>
      <c r="AL496" s="107"/>
      <c r="AM496" s="107"/>
      <c r="AN496" s="107"/>
      <c r="AO496" s="107"/>
      <c r="AP496" s="107"/>
      <c r="AQ496" s="107"/>
      <c r="AR496" s="5"/>
      <c r="AS496" s="5"/>
    </row>
    <row r="497" spans="1:45" ht="15.75" customHeight="1" x14ac:dyDescent="0.25">
      <c r="A497" s="107"/>
      <c r="B497" s="8"/>
      <c r="C497" s="8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107"/>
      <c r="AK497" s="107"/>
      <c r="AL497" s="107"/>
      <c r="AM497" s="107"/>
      <c r="AN497" s="107"/>
      <c r="AO497" s="107"/>
      <c r="AP497" s="107"/>
      <c r="AQ497" s="107"/>
      <c r="AR497" s="5"/>
      <c r="AS497" s="5"/>
    </row>
    <row r="498" spans="1:45" ht="15.75" customHeight="1" x14ac:dyDescent="0.25">
      <c r="A498" s="107"/>
      <c r="B498" s="8"/>
      <c r="C498" s="8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107"/>
      <c r="AK498" s="107"/>
      <c r="AL498" s="107"/>
      <c r="AM498" s="107"/>
      <c r="AN498" s="107"/>
      <c r="AO498" s="107"/>
      <c r="AP498" s="107"/>
      <c r="AQ498" s="107"/>
      <c r="AR498" s="5"/>
      <c r="AS498" s="5"/>
    </row>
    <row r="499" spans="1:45" ht="15.75" customHeight="1" x14ac:dyDescent="0.25">
      <c r="A499" s="107"/>
      <c r="B499" s="8"/>
      <c r="C499" s="8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107"/>
      <c r="AK499" s="107"/>
      <c r="AL499" s="107"/>
      <c r="AM499" s="107"/>
      <c r="AN499" s="107"/>
      <c r="AO499" s="107"/>
      <c r="AP499" s="107"/>
      <c r="AQ499" s="107"/>
      <c r="AR499" s="5"/>
      <c r="AS499" s="5"/>
    </row>
    <row r="500" spans="1:45" ht="15.75" customHeight="1" x14ac:dyDescent="0.25">
      <c r="A500" s="107"/>
      <c r="B500" s="8"/>
      <c r="C500" s="8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107"/>
      <c r="AK500" s="107"/>
      <c r="AL500" s="107"/>
      <c r="AM500" s="107"/>
      <c r="AN500" s="107"/>
      <c r="AO500" s="107"/>
      <c r="AP500" s="107"/>
      <c r="AQ500" s="107"/>
      <c r="AR500" s="5"/>
      <c r="AS500" s="5"/>
    </row>
    <row r="501" spans="1:45" ht="15.75" customHeight="1" x14ac:dyDescent="0.25">
      <c r="A501" s="107"/>
      <c r="B501" s="8"/>
      <c r="C501" s="8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107"/>
      <c r="AK501" s="107"/>
      <c r="AL501" s="107"/>
      <c r="AM501" s="107"/>
      <c r="AN501" s="107"/>
      <c r="AO501" s="107"/>
      <c r="AP501" s="107"/>
      <c r="AQ501" s="107"/>
      <c r="AR501" s="5"/>
      <c r="AS501" s="5"/>
    </row>
    <row r="502" spans="1:45" ht="15.75" customHeight="1" x14ac:dyDescent="0.25">
      <c r="A502" s="107"/>
      <c r="B502" s="8"/>
      <c r="C502" s="8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107"/>
      <c r="AK502" s="107"/>
      <c r="AL502" s="107"/>
      <c r="AM502" s="107"/>
      <c r="AN502" s="107"/>
      <c r="AO502" s="107"/>
      <c r="AP502" s="107"/>
      <c r="AQ502" s="107"/>
      <c r="AR502" s="5"/>
      <c r="AS502" s="5"/>
    </row>
    <row r="503" spans="1:45" ht="15.75" customHeight="1" x14ac:dyDescent="0.25">
      <c r="A503" s="107"/>
      <c r="B503" s="8"/>
      <c r="C503" s="8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107"/>
      <c r="AK503" s="107"/>
      <c r="AL503" s="107"/>
      <c r="AM503" s="107"/>
      <c r="AN503" s="107"/>
      <c r="AO503" s="107"/>
      <c r="AP503" s="107"/>
      <c r="AQ503" s="107"/>
      <c r="AR503" s="5"/>
      <c r="AS503" s="5"/>
    </row>
    <row r="504" spans="1:45" ht="15.75" customHeight="1" x14ac:dyDescent="0.25">
      <c r="A504" s="107"/>
      <c r="B504" s="8"/>
      <c r="C504" s="8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107"/>
      <c r="AK504" s="107"/>
      <c r="AL504" s="107"/>
      <c r="AM504" s="107"/>
      <c r="AN504" s="107"/>
      <c r="AO504" s="107"/>
      <c r="AP504" s="107"/>
      <c r="AQ504" s="107"/>
      <c r="AR504" s="5"/>
      <c r="AS504" s="5"/>
    </row>
    <row r="505" spans="1:45" ht="15.75" customHeight="1" x14ac:dyDescent="0.25">
      <c r="A505" s="107"/>
      <c r="B505" s="8"/>
      <c r="C505" s="8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107"/>
      <c r="AK505" s="107"/>
      <c r="AL505" s="107"/>
      <c r="AM505" s="107"/>
      <c r="AN505" s="107"/>
      <c r="AO505" s="107"/>
      <c r="AP505" s="107"/>
      <c r="AQ505" s="107"/>
      <c r="AR505" s="5"/>
      <c r="AS505" s="5"/>
    </row>
    <row r="506" spans="1:45" ht="15.75" customHeight="1" x14ac:dyDescent="0.25">
      <c r="A506" s="107"/>
      <c r="B506" s="8"/>
      <c r="C506" s="8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107"/>
      <c r="AK506" s="107"/>
      <c r="AL506" s="107"/>
      <c r="AM506" s="107"/>
      <c r="AN506" s="107"/>
      <c r="AO506" s="107"/>
      <c r="AP506" s="107"/>
      <c r="AQ506" s="107"/>
      <c r="AR506" s="5"/>
      <c r="AS506" s="5"/>
    </row>
    <row r="507" spans="1:45" ht="15.75" customHeight="1" x14ac:dyDescent="0.25">
      <c r="A507" s="107"/>
      <c r="B507" s="8"/>
      <c r="C507" s="8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107"/>
      <c r="AK507" s="107"/>
      <c r="AL507" s="107"/>
      <c r="AM507" s="107"/>
      <c r="AN507" s="107"/>
      <c r="AO507" s="107"/>
      <c r="AP507" s="107"/>
      <c r="AQ507" s="107"/>
      <c r="AR507" s="5"/>
      <c r="AS507" s="5"/>
    </row>
    <row r="508" spans="1:45" ht="15.75" customHeight="1" x14ac:dyDescent="0.25">
      <c r="A508" s="107"/>
      <c r="B508" s="8"/>
      <c r="C508" s="8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107"/>
      <c r="AK508" s="107"/>
      <c r="AL508" s="107"/>
      <c r="AM508" s="107"/>
      <c r="AN508" s="107"/>
      <c r="AO508" s="107"/>
      <c r="AP508" s="107"/>
      <c r="AQ508" s="107"/>
      <c r="AR508" s="5"/>
      <c r="AS508" s="5"/>
    </row>
    <row r="509" spans="1:45" ht="15.75" customHeight="1" x14ac:dyDescent="0.25">
      <c r="A509" s="107"/>
      <c r="B509" s="8"/>
      <c r="C509" s="8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107"/>
      <c r="AK509" s="107"/>
      <c r="AL509" s="107"/>
      <c r="AM509" s="107"/>
      <c r="AN509" s="107"/>
      <c r="AO509" s="107"/>
      <c r="AP509" s="107"/>
      <c r="AQ509" s="107"/>
      <c r="AR509" s="5"/>
      <c r="AS509" s="5"/>
    </row>
    <row r="510" spans="1:45" ht="15.75" customHeight="1" x14ac:dyDescent="0.25">
      <c r="A510" s="107"/>
      <c r="B510" s="8"/>
      <c r="C510" s="8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107"/>
      <c r="AK510" s="107"/>
      <c r="AL510" s="107"/>
      <c r="AM510" s="107"/>
      <c r="AN510" s="107"/>
      <c r="AO510" s="107"/>
      <c r="AP510" s="107"/>
      <c r="AQ510" s="107"/>
      <c r="AR510" s="5"/>
      <c r="AS510" s="5"/>
    </row>
    <row r="511" spans="1:45" ht="15.75" customHeight="1" x14ac:dyDescent="0.25">
      <c r="A511" s="107"/>
      <c r="B511" s="8"/>
      <c r="C511" s="8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107"/>
      <c r="AK511" s="107"/>
      <c r="AL511" s="107"/>
      <c r="AM511" s="107"/>
      <c r="AN511" s="107"/>
      <c r="AO511" s="107"/>
      <c r="AP511" s="107"/>
      <c r="AQ511" s="107"/>
      <c r="AR511" s="5"/>
      <c r="AS511" s="5"/>
    </row>
    <row r="512" spans="1:45" ht="15.75" customHeight="1" x14ac:dyDescent="0.25">
      <c r="A512" s="107"/>
      <c r="B512" s="8"/>
      <c r="C512" s="8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107"/>
      <c r="AK512" s="107"/>
      <c r="AL512" s="107"/>
      <c r="AM512" s="107"/>
      <c r="AN512" s="107"/>
      <c r="AO512" s="107"/>
      <c r="AP512" s="107"/>
      <c r="AQ512" s="107"/>
      <c r="AR512" s="5"/>
      <c r="AS512" s="5"/>
    </row>
    <row r="513" spans="1:45" ht="15.75" customHeight="1" x14ac:dyDescent="0.25">
      <c r="A513" s="107"/>
      <c r="B513" s="8"/>
      <c r="C513" s="8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107"/>
      <c r="AK513" s="107"/>
      <c r="AL513" s="107"/>
      <c r="AM513" s="107"/>
      <c r="AN513" s="107"/>
      <c r="AO513" s="107"/>
      <c r="AP513" s="107"/>
      <c r="AQ513" s="107"/>
      <c r="AR513" s="5"/>
      <c r="AS513" s="5"/>
    </row>
    <row r="514" spans="1:45" ht="15.75" customHeight="1" x14ac:dyDescent="0.25">
      <c r="A514" s="107"/>
      <c r="B514" s="8"/>
      <c r="C514" s="8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107"/>
      <c r="AK514" s="107"/>
      <c r="AL514" s="107"/>
      <c r="AM514" s="107"/>
      <c r="AN514" s="107"/>
      <c r="AO514" s="107"/>
      <c r="AP514" s="107"/>
      <c r="AQ514" s="107"/>
      <c r="AR514" s="5"/>
      <c r="AS514" s="5"/>
    </row>
    <row r="515" spans="1:45" ht="15.75" customHeight="1" x14ac:dyDescent="0.25">
      <c r="A515" s="107"/>
      <c r="B515" s="8"/>
      <c r="C515" s="8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107"/>
      <c r="AK515" s="107"/>
      <c r="AL515" s="107"/>
      <c r="AM515" s="107"/>
      <c r="AN515" s="107"/>
      <c r="AO515" s="107"/>
      <c r="AP515" s="107"/>
      <c r="AQ515" s="107"/>
      <c r="AR515" s="5"/>
      <c r="AS515" s="5"/>
    </row>
    <row r="516" spans="1:45" ht="15.75" customHeight="1" x14ac:dyDescent="0.25">
      <c r="A516" s="107"/>
      <c r="B516" s="8"/>
      <c r="C516" s="8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107"/>
      <c r="AK516" s="107"/>
      <c r="AL516" s="107"/>
      <c r="AM516" s="107"/>
      <c r="AN516" s="107"/>
      <c r="AO516" s="107"/>
      <c r="AP516" s="107"/>
      <c r="AQ516" s="107"/>
      <c r="AR516" s="5"/>
      <c r="AS516" s="5"/>
    </row>
    <row r="517" spans="1:45" ht="15.75" customHeight="1" x14ac:dyDescent="0.25">
      <c r="A517" s="107"/>
      <c r="B517" s="8"/>
      <c r="C517" s="8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107"/>
      <c r="AK517" s="107"/>
      <c r="AL517" s="107"/>
      <c r="AM517" s="107"/>
      <c r="AN517" s="107"/>
      <c r="AO517" s="107"/>
      <c r="AP517" s="107"/>
      <c r="AQ517" s="107"/>
      <c r="AR517" s="5"/>
      <c r="AS517" s="5"/>
    </row>
    <row r="518" spans="1:45" ht="15.75" customHeight="1" x14ac:dyDescent="0.25">
      <c r="A518" s="107"/>
      <c r="B518" s="8"/>
      <c r="C518" s="8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107"/>
      <c r="AK518" s="107"/>
      <c r="AL518" s="107"/>
      <c r="AM518" s="107"/>
      <c r="AN518" s="107"/>
      <c r="AO518" s="107"/>
      <c r="AP518" s="107"/>
      <c r="AQ518" s="107"/>
      <c r="AR518" s="5"/>
      <c r="AS518" s="5"/>
    </row>
    <row r="519" spans="1:45" ht="15.75" customHeight="1" x14ac:dyDescent="0.25">
      <c r="A519" s="107"/>
      <c r="B519" s="8"/>
      <c r="C519" s="8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107"/>
      <c r="AK519" s="107"/>
      <c r="AL519" s="107"/>
      <c r="AM519" s="107"/>
      <c r="AN519" s="107"/>
      <c r="AO519" s="107"/>
      <c r="AP519" s="107"/>
      <c r="AQ519" s="107"/>
      <c r="AR519" s="5"/>
      <c r="AS519" s="5"/>
    </row>
    <row r="520" spans="1:45" ht="15.75" customHeight="1" x14ac:dyDescent="0.25">
      <c r="A520" s="107"/>
      <c r="B520" s="8"/>
      <c r="C520" s="8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107"/>
      <c r="AK520" s="107"/>
      <c r="AL520" s="107"/>
      <c r="AM520" s="107"/>
      <c r="AN520" s="107"/>
      <c r="AO520" s="107"/>
      <c r="AP520" s="107"/>
      <c r="AQ520" s="107"/>
      <c r="AR520" s="5"/>
      <c r="AS520" s="5"/>
    </row>
    <row r="521" spans="1:45" ht="15.75" customHeight="1" x14ac:dyDescent="0.25">
      <c r="A521" s="107"/>
      <c r="B521" s="8"/>
      <c r="C521" s="8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107"/>
      <c r="AK521" s="107"/>
      <c r="AL521" s="107"/>
      <c r="AM521" s="107"/>
      <c r="AN521" s="107"/>
      <c r="AO521" s="107"/>
      <c r="AP521" s="107"/>
      <c r="AQ521" s="107"/>
      <c r="AR521" s="5"/>
      <c r="AS521" s="5"/>
    </row>
    <row r="522" spans="1:45" ht="15.75" customHeight="1" x14ac:dyDescent="0.25">
      <c r="A522" s="107"/>
      <c r="B522" s="8"/>
      <c r="C522" s="8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107"/>
      <c r="AK522" s="107"/>
      <c r="AL522" s="107"/>
      <c r="AM522" s="107"/>
      <c r="AN522" s="107"/>
      <c r="AO522" s="107"/>
      <c r="AP522" s="107"/>
      <c r="AQ522" s="107"/>
      <c r="AR522" s="5"/>
      <c r="AS522" s="5"/>
    </row>
    <row r="523" spans="1:45" ht="15.75" customHeight="1" x14ac:dyDescent="0.25">
      <c r="A523" s="107"/>
      <c r="B523" s="8"/>
      <c r="C523" s="8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107"/>
      <c r="AK523" s="107"/>
      <c r="AL523" s="107"/>
      <c r="AM523" s="107"/>
      <c r="AN523" s="107"/>
      <c r="AO523" s="107"/>
      <c r="AP523" s="107"/>
      <c r="AQ523" s="107"/>
      <c r="AR523" s="5"/>
      <c r="AS523" s="5"/>
    </row>
    <row r="524" spans="1:45" ht="15.75" customHeight="1" x14ac:dyDescent="0.25">
      <c r="A524" s="107"/>
      <c r="B524" s="8"/>
      <c r="C524" s="8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107"/>
      <c r="AK524" s="107"/>
      <c r="AL524" s="107"/>
      <c r="AM524" s="107"/>
      <c r="AN524" s="107"/>
      <c r="AO524" s="107"/>
      <c r="AP524" s="107"/>
      <c r="AQ524" s="107"/>
      <c r="AR524" s="5"/>
      <c r="AS524" s="5"/>
    </row>
    <row r="525" spans="1:45" ht="15.75" customHeight="1" x14ac:dyDescent="0.25">
      <c r="A525" s="107"/>
      <c r="B525" s="8"/>
      <c r="C525" s="8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107"/>
      <c r="AK525" s="107"/>
      <c r="AL525" s="107"/>
      <c r="AM525" s="107"/>
      <c r="AN525" s="107"/>
      <c r="AO525" s="107"/>
      <c r="AP525" s="107"/>
      <c r="AQ525" s="107"/>
      <c r="AR525" s="5"/>
      <c r="AS525" s="5"/>
    </row>
    <row r="526" spans="1:45" ht="15.75" customHeight="1" x14ac:dyDescent="0.25">
      <c r="A526" s="107"/>
      <c r="B526" s="8"/>
      <c r="C526" s="8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107"/>
      <c r="AK526" s="107"/>
      <c r="AL526" s="107"/>
      <c r="AM526" s="107"/>
      <c r="AN526" s="107"/>
      <c r="AO526" s="107"/>
      <c r="AP526" s="107"/>
      <c r="AQ526" s="107"/>
      <c r="AR526" s="5"/>
      <c r="AS526" s="5"/>
    </row>
    <row r="527" spans="1:45" ht="15.75" customHeight="1" x14ac:dyDescent="0.25">
      <c r="A527" s="107"/>
      <c r="B527" s="8"/>
      <c r="C527" s="8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107"/>
      <c r="AK527" s="107"/>
      <c r="AL527" s="107"/>
      <c r="AM527" s="107"/>
      <c r="AN527" s="107"/>
      <c r="AO527" s="107"/>
      <c r="AP527" s="107"/>
      <c r="AQ527" s="107"/>
      <c r="AR527" s="5"/>
      <c r="AS527" s="5"/>
    </row>
    <row r="528" spans="1:45" ht="15.75" customHeight="1" x14ac:dyDescent="0.25">
      <c r="A528" s="107"/>
      <c r="B528" s="8"/>
      <c r="C528" s="8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107"/>
      <c r="AK528" s="107"/>
      <c r="AL528" s="107"/>
      <c r="AM528" s="107"/>
      <c r="AN528" s="107"/>
      <c r="AO528" s="107"/>
      <c r="AP528" s="107"/>
      <c r="AQ528" s="107"/>
      <c r="AR528" s="5"/>
      <c r="AS528" s="5"/>
    </row>
    <row r="529" spans="1:45" ht="15.75" customHeight="1" x14ac:dyDescent="0.25">
      <c r="A529" s="107"/>
      <c r="B529" s="8"/>
      <c r="C529" s="8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107"/>
      <c r="AK529" s="107"/>
      <c r="AL529" s="107"/>
      <c r="AM529" s="107"/>
      <c r="AN529" s="107"/>
      <c r="AO529" s="107"/>
      <c r="AP529" s="107"/>
      <c r="AQ529" s="107"/>
      <c r="AR529" s="5"/>
      <c r="AS529" s="5"/>
    </row>
    <row r="530" spans="1:45" ht="15.75" customHeight="1" x14ac:dyDescent="0.25">
      <c r="A530" s="107"/>
      <c r="B530" s="8"/>
      <c r="C530" s="8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107"/>
      <c r="AK530" s="107"/>
      <c r="AL530" s="107"/>
      <c r="AM530" s="107"/>
      <c r="AN530" s="107"/>
      <c r="AO530" s="107"/>
      <c r="AP530" s="107"/>
      <c r="AQ530" s="107"/>
      <c r="AR530" s="5"/>
      <c r="AS530" s="5"/>
    </row>
    <row r="531" spans="1:45" ht="15.75" customHeight="1" x14ac:dyDescent="0.25">
      <c r="A531" s="107"/>
      <c r="B531" s="8"/>
      <c r="C531" s="8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107"/>
      <c r="AK531" s="107"/>
      <c r="AL531" s="107"/>
      <c r="AM531" s="107"/>
      <c r="AN531" s="107"/>
      <c r="AO531" s="107"/>
      <c r="AP531" s="107"/>
      <c r="AQ531" s="107"/>
      <c r="AR531" s="5"/>
      <c r="AS531" s="5"/>
    </row>
    <row r="532" spans="1:45" ht="15.75" customHeight="1" x14ac:dyDescent="0.25">
      <c r="A532" s="107"/>
      <c r="B532" s="8"/>
      <c r="C532" s="8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107"/>
      <c r="AK532" s="107"/>
      <c r="AL532" s="107"/>
      <c r="AM532" s="107"/>
      <c r="AN532" s="107"/>
      <c r="AO532" s="107"/>
      <c r="AP532" s="107"/>
      <c r="AQ532" s="107"/>
      <c r="AR532" s="5"/>
      <c r="AS532" s="5"/>
    </row>
    <row r="533" spans="1:45" ht="15.75" customHeight="1" x14ac:dyDescent="0.25">
      <c r="A533" s="107"/>
      <c r="B533" s="8"/>
      <c r="C533" s="8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107"/>
      <c r="AK533" s="107"/>
      <c r="AL533" s="107"/>
      <c r="AM533" s="107"/>
      <c r="AN533" s="107"/>
      <c r="AO533" s="107"/>
      <c r="AP533" s="107"/>
      <c r="AQ533" s="107"/>
      <c r="AR533" s="5"/>
      <c r="AS533" s="5"/>
    </row>
    <row r="534" spans="1:45" ht="15.75" customHeight="1" x14ac:dyDescent="0.25">
      <c r="A534" s="107"/>
      <c r="B534" s="8"/>
      <c r="C534" s="8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107"/>
      <c r="AK534" s="107"/>
      <c r="AL534" s="107"/>
      <c r="AM534" s="107"/>
      <c r="AN534" s="107"/>
      <c r="AO534" s="107"/>
      <c r="AP534" s="107"/>
      <c r="AQ534" s="107"/>
      <c r="AR534" s="5"/>
      <c r="AS534" s="5"/>
    </row>
    <row r="535" spans="1:45" ht="15.75" customHeight="1" x14ac:dyDescent="0.25">
      <c r="A535" s="107"/>
      <c r="B535" s="8"/>
      <c r="C535" s="8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107"/>
      <c r="AK535" s="107"/>
      <c r="AL535" s="107"/>
      <c r="AM535" s="107"/>
      <c r="AN535" s="107"/>
      <c r="AO535" s="107"/>
      <c r="AP535" s="107"/>
      <c r="AQ535" s="107"/>
      <c r="AR535" s="5"/>
      <c r="AS535" s="5"/>
    </row>
    <row r="536" spans="1:45" ht="15.75" customHeight="1" x14ac:dyDescent="0.25">
      <c r="A536" s="107"/>
      <c r="B536" s="8"/>
      <c r="C536" s="8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107"/>
      <c r="AK536" s="107"/>
      <c r="AL536" s="107"/>
      <c r="AM536" s="107"/>
      <c r="AN536" s="107"/>
      <c r="AO536" s="107"/>
      <c r="AP536" s="107"/>
      <c r="AQ536" s="107"/>
      <c r="AR536" s="5"/>
      <c r="AS536" s="5"/>
    </row>
    <row r="537" spans="1:45" ht="15.75" customHeight="1" x14ac:dyDescent="0.25">
      <c r="A537" s="107"/>
      <c r="B537" s="8"/>
      <c r="C537" s="8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107"/>
      <c r="AK537" s="107"/>
      <c r="AL537" s="107"/>
      <c r="AM537" s="107"/>
      <c r="AN537" s="107"/>
      <c r="AO537" s="107"/>
      <c r="AP537" s="107"/>
      <c r="AQ537" s="107"/>
      <c r="AR537" s="5"/>
      <c r="AS537" s="5"/>
    </row>
    <row r="538" spans="1:45" ht="15.75" customHeight="1" x14ac:dyDescent="0.25">
      <c r="A538" s="107"/>
      <c r="B538" s="8"/>
      <c r="C538" s="8"/>
      <c r="D538" s="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107"/>
      <c r="AK538" s="107"/>
      <c r="AL538" s="107"/>
      <c r="AM538" s="107"/>
      <c r="AN538" s="107"/>
      <c r="AO538" s="107"/>
      <c r="AP538" s="107"/>
      <c r="AQ538" s="107"/>
      <c r="AR538" s="5"/>
      <c r="AS538" s="5"/>
    </row>
    <row r="539" spans="1:45" ht="15.75" customHeight="1" x14ac:dyDescent="0.25">
      <c r="A539" s="107"/>
      <c r="B539" s="8"/>
      <c r="C539" s="8"/>
      <c r="D539" s="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107"/>
      <c r="AK539" s="107"/>
      <c r="AL539" s="107"/>
      <c r="AM539" s="107"/>
      <c r="AN539" s="107"/>
      <c r="AO539" s="107"/>
      <c r="AP539" s="107"/>
      <c r="AQ539" s="107"/>
      <c r="AR539" s="5"/>
      <c r="AS539" s="5"/>
    </row>
    <row r="540" spans="1:45" ht="15.75" customHeight="1" x14ac:dyDescent="0.25">
      <c r="A540" s="107"/>
      <c r="B540" s="8"/>
      <c r="C540" s="8"/>
      <c r="D540" s="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107"/>
      <c r="AK540" s="107"/>
      <c r="AL540" s="107"/>
      <c r="AM540" s="107"/>
      <c r="AN540" s="107"/>
      <c r="AO540" s="107"/>
      <c r="AP540" s="107"/>
      <c r="AQ540" s="107"/>
      <c r="AR540" s="5"/>
      <c r="AS540" s="5"/>
    </row>
    <row r="541" spans="1:45" ht="15.75" customHeight="1" x14ac:dyDescent="0.25">
      <c r="A541" s="107"/>
      <c r="B541" s="8"/>
      <c r="C541" s="8"/>
      <c r="D541" s="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107"/>
      <c r="AK541" s="107"/>
      <c r="AL541" s="107"/>
      <c r="AM541" s="107"/>
      <c r="AN541" s="107"/>
      <c r="AO541" s="107"/>
      <c r="AP541" s="107"/>
      <c r="AQ541" s="107"/>
      <c r="AR541" s="5"/>
      <c r="AS541" s="5"/>
    </row>
    <row r="542" spans="1:45" ht="15.75" customHeight="1" x14ac:dyDescent="0.25">
      <c r="A542" s="107"/>
      <c r="B542" s="8"/>
      <c r="C542" s="8"/>
      <c r="D542" s="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107"/>
      <c r="AK542" s="107"/>
      <c r="AL542" s="107"/>
      <c r="AM542" s="107"/>
      <c r="AN542" s="107"/>
      <c r="AO542" s="107"/>
      <c r="AP542" s="107"/>
      <c r="AQ542" s="107"/>
      <c r="AR542" s="5"/>
      <c r="AS542" s="5"/>
    </row>
    <row r="543" spans="1:45" ht="15.75" customHeight="1" x14ac:dyDescent="0.25">
      <c r="A543" s="107"/>
      <c r="B543" s="8"/>
      <c r="C543" s="8"/>
      <c r="D543" s="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107"/>
      <c r="AK543" s="107"/>
      <c r="AL543" s="107"/>
      <c r="AM543" s="107"/>
      <c r="AN543" s="107"/>
      <c r="AO543" s="107"/>
      <c r="AP543" s="107"/>
      <c r="AQ543" s="107"/>
      <c r="AR543" s="5"/>
      <c r="AS543" s="5"/>
    </row>
    <row r="544" spans="1:45" ht="15.75" customHeight="1" x14ac:dyDescent="0.25">
      <c r="A544" s="107"/>
      <c r="B544" s="8"/>
      <c r="C544" s="8"/>
      <c r="D544" s="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107"/>
      <c r="AK544" s="107"/>
      <c r="AL544" s="107"/>
      <c r="AM544" s="107"/>
      <c r="AN544" s="107"/>
      <c r="AO544" s="107"/>
      <c r="AP544" s="107"/>
      <c r="AQ544" s="107"/>
      <c r="AR544" s="5"/>
      <c r="AS544" s="5"/>
    </row>
    <row r="545" spans="1:45" ht="15.75" customHeight="1" x14ac:dyDescent="0.25">
      <c r="A545" s="107"/>
      <c r="B545" s="8"/>
      <c r="C545" s="8"/>
      <c r="D545" s="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107"/>
      <c r="AK545" s="107"/>
      <c r="AL545" s="107"/>
      <c r="AM545" s="107"/>
      <c r="AN545" s="107"/>
      <c r="AO545" s="107"/>
      <c r="AP545" s="107"/>
      <c r="AQ545" s="107"/>
      <c r="AR545" s="5"/>
      <c r="AS545" s="5"/>
    </row>
    <row r="546" spans="1:45" ht="15.75" customHeight="1" x14ac:dyDescent="0.25">
      <c r="A546" s="107"/>
      <c r="B546" s="8"/>
      <c r="C546" s="8"/>
      <c r="D546" s="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107"/>
      <c r="AK546" s="107"/>
      <c r="AL546" s="107"/>
      <c r="AM546" s="107"/>
      <c r="AN546" s="107"/>
      <c r="AO546" s="107"/>
      <c r="AP546" s="107"/>
      <c r="AQ546" s="107"/>
      <c r="AR546" s="5"/>
      <c r="AS546" s="5"/>
    </row>
    <row r="547" spans="1:45" ht="15.75" customHeight="1" x14ac:dyDescent="0.25">
      <c r="A547" s="107"/>
      <c r="B547" s="8"/>
      <c r="C547" s="8"/>
      <c r="D547" s="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107"/>
      <c r="AK547" s="107"/>
      <c r="AL547" s="107"/>
      <c r="AM547" s="107"/>
      <c r="AN547" s="107"/>
      <c r="AO547" s="107"/>
      <c r="AP547" s="107"/>
      <c r="AQ547" s="107"/>
      <c r="AR547" s="5"/>
      <c r="AS547" s="5"/>
    </row>
    <row r="548" spans="1:45" ht="15.75" customHeight="1" x14ac:dyDescent="0.25">
      <c r="A548" s="107"/>
      <c r="B548" s="8"/>
      <c r="C548" s="8"/>
      <c r="D548" s="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107"/>
      <c r="AK548" s="107"/>
      <c r="AL548" s="107"/>
      <c r="AM548" s="107"/>
      <c r="AN548" s="107"/>
      <c r="AO548" s="107"/>
      <c r="AP548" s="107"/>
      <c r="AQ548" s="107"/>
      <c r="AR548" s="5"/>
      <c r="AS548" s="5"/>
    </row>
    <row r="549" spans="1:45" ht="15.75" customHeight="1" x14ac:dyDescent="0.25">
      <c r="A549" s="107"/>
      <c r="B549" s="8"/>
      <c r="C549" s="8"/>
      <c r="D549" s="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107"/>
      <c r="AK549" s="107"/>
      <c r="AL549" s="107"/>
      <c r="AM549" s="107"/>
      <c r="AN549" s="107"/>
      <c r="AO549" s="107"/>
      <c r="AP549" s="107"/>
      <c r="AQ549" s="107"/>
      <c r="AR549" s="5"/>
      <c r="AS549" s="5"/>
    </row>
    <row r="550" spans="1:45" ht="15.75" customHeight="1" x14ac:dyDescent="0.25">
      <c r="A550" s="107"/>
      <c r="B550" s="8"/>
      <c r="C550" s="8"/>
      <c r="D550" s="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107"/>
      <c r="AK550" s="107"/>
      <c r="AL550" s="107"/>
      <c r="AM550" s="107"/>
      <c r="AN550" s="107"/>
      <c r="AO550" s="107"/>
      <c r="AP550" s="107"/>
      <c r="AQ550" s="107"/>
      <c r="AR550" s="5"/>
      <c r="AS550" s="5"/>
    </row>
    <row r="551" spans="1:45" ht="15.75" customHeight="1" x14ac:dyDescent="0.25">
      <c r="A551" s="107"/>
      <c r="B551" s="8"/>
      <c r="C551" s="8"/>
      <c r="D551" s="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107"/>
      <c r="AK551" s="107"/>
      <c r="AL551" s="107"/>
      <c r="AM551" s="107"/>
      <c r="AN551" s="107"/>
      <c r="AO551" s="107"/>
      <c r="AP551" s="107"/>
      <c r="AQ551" s="107"/>
      <c r="AR551" s="5"/>
      <c r="AS551" s="5"/>
    </row>
    <row r="552" spans="1:45" ht="15.75" customHeight="1" x14ac:dyDescent="0.25">
      <c r="A552" s="107"/>
      <c r="B552" s="8"/>
      <c r="C552" s="8"/>
      <c r="D552" s="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107"/>
      <c r="AK552" s="107"/>
      <c r="AL552" s="107"/>
      <c r="AM552" s="107"/>
      <c r="AN552" s="107"/>
      <c r="AO552" s="107"/>
      <c r="AP552" s="107"/>
      <c r="AQ552" s="107"/>
      <c r="AR552" s="5"/>
      <c r="AS552" s="5"/>
    </row>
    <row r="553" spans="1:45" ht="15.75" customHeight="1" x14ac:dyDescent="0.25">
      <c r="A553" s="107"/>
      <c r="B553" s="8"/>
      <c r="C553" s="8"/>
      <c r="D553" s="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107"/>
      <c r="AK553" s="107"/>
      <c r="AL553" s="107"/>
      <c r="AM553" s="107"/>
      <c r="AN553" s="107"/>
      <c r="AO553" s="107"/>
      <c r="AP553" s="107"/>
      <c r="AQ553" s="107"/>
      <c r="AR553" s="5"/>
      <c r="AS553" s="5"/>
    </row>
    <row r="554" spans="1:45" ht="15.75" customHeight="1" x14ac:dyDescent="0.25">
      <c r="A554" s="107"/>
      <c r="B554" s="8"/>
      <c r="C554" s="8"/>
      <c r="D554" s="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107"/>
      <c r="AK554" s="107"/>
      <c r="AL554" s="107"/>
      <c r="AM554" s="107"/>
      <c r="AN554" s="107"/>
      <c r="AO554" s="107"/>
      <c r="AP554" s="107"/>
      <c r="AQ554" s="107"/>
      <c r="AR554" s="5"/>
      <c r="AS554" s="5"/>
    </row>
    <row r="555" spans="1:45" ht="15.75" customHeight="1" x14ac:dyDescent="0.25">
      <c r="A555" s="107"/>
      <c r="B555" s="8"/>
      <c r="C555" s="8"/>
      <c r="D555" s="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107"/>
      <c r="AK555" s="107"/>
      <c r="AL555" s="107"/>
      <c r="AM555" s="107"/>
      <c r="AN555" s="107"/>
      <c r="AO555" s="107"/>
      <c r="AP555" s="107"/>
      <c r="AQ555" s="107"/>
      <c r="AR555" s="5"/>
      <c r="AS555" s="5"/>
    </row>
    <row r="556" spans="1:45" ht="15.75" customHeight="1" x14ac:dyDescent="0.25">
      <c r="A556" s="107"/>
      <c r="B556" s="8"/>
      <c r="C556" s="8"/>
      <c r="D556" s="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107"/>
      <c r="AK556" s="107"/>
      <c r="AL556" s="107"/>
      <c r="AM556" s="107"/>
      <c r="AN556" s="107"/>
      <c r="AO556" s="107"/>
      <c r="AP556" s="107"/>
      <c r="AQ556" s="107"/>
      <c r="AR556" s="5"/>
      <c r="AS556" s="5"/>
    </row>
    <row r="557" spans="1:45" ht="15.75" customHeight="1" x14ac:dyDescent="0.25">
      <c r="A557" s="107"/>
      <c r="B557" s="8"/>
      <c r="C557" s="8"/>
      <c r="D557" s="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107"/>
      <c r="AK557" s="107"/>
      <c r="AL557" s="107"/>
      <c r="AM557" s="107"/>
      <c r="AN557" s="107"/>
      <c r="AO557" s="107"/>
      <c r="AP557" s="107"/>
      <c r="AQ557" s="107"/>
      <c r="AR557" s="5"/>
      <c r="AS557" s="5"/>
    </row>
    <row r="558" spans="1:45" ht="15.75" customHeight="1" x14ac:dyDescent="0.25">
      <c r="A558" s="107"/>
      <c r="B558" s="8"/>
      <c r="C558" s="8"/>
      <c r="D558" s="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107"/>
      <c r="AK558" s="107"/>
      <c r="AL558" s="107"/>
      <c r="AM558" s="107"/>
      <c r="AN558" s="107"/>
      <c r="AO558" s="107"/>
      <c r="AP558" s="107"/>
      <c r="AQ558" s="107"/>
      <c r="AR558" s="5"/>
      <c r="AS558" s="5"/>
    </row>
    <row r="559" spans="1:45" ht="15.75" customHeight="1" x14ac:dyDescent="0.25">
      <c r="A559" s="107"/>
      <c r="B559" s="8"/>
      <c r="C559" s="8"/>
      <c r="D559" s="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107"/>
      <c r="AK559" s="107"/>
      <c r="AL559" s="107"/>
      <c r="AM559" s="107"/>
      <c r="AN559" s="107"/>
      <c r="AO559" s="107"/>
      <c r="AP559" s="107"/>
      <c r="AQ559" s="107"/>
      <c r="AR559" s="5"/>
      <c r="AS559" s="5"/>
    </row>
    <row r="560" spans="1:45" ht="15.75" customHeight="1" x14ac:dyDescent="0.25">
      <c r="A560" s="107"/>
      <c r="B560" s="8"/>
      <c r="C560" s="8"/>
      <c r="D560" s="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107"/>
      <c r="AK560" s="107"/>
      <c r="AL560" s="107"/>
      <c r="AM560" s="107"/>
      <c r="AN560" s="107"/>
      <c r="AO560" s="107"/>
      <c r="AP560" s="107"/>
      <c r="AQ560" s="107"/>
      <c r="AR560" s="5"/>
      <c r="AS560" s="5"/>
    </row>
    <row r="561" spans="1:45" ht="15.75" customHeight="1" x14ac:dyDescent="0.25">
      <c r="A561" s="107"/>
      <c r="B561" s="8"/>
      <c r="C561" s="8"/>
      <c r="D561" s="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107"/>
      <c r="AK561" s="107"/>
      <c r="AL561" s="107"/>
      <c r="AM561" s="107"/>
      <c r="AN561" s="107"/>
      <c r="AO561" s="107"/>
      <c r="AP561" s="107"/>
      <c r="AQ561" s="107"/>
      <c r="AR561" s="5"/>
      <c r="AS561" s="5"/>
    </row>
    <row r="562" spans="1:45" ht="15.75" customHeight="1" x14ac:dyDescent="0.25">
      <c r="A562" s="107"/>
      <c r="B562" s="8"/>
      <c r="C562" s="8"/>
      <c r="D562" s="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107"/>
      <c r="AK562" s="107"/>
      <c r="AL562" s="107"/>
      <c r="AM562" s="107"/>
      <c r="AN562" s="107"/>
      <c r="AO562" s="107"/>
      <c r="AP562" s="107"/>
      <c r="AQ562" s="107"/>
      <c r="AR562" s="5"/>
      <c r="AS562" s="5"/>
    </row>
    <row r="563" spans="1:45" ht="15.75" customHeight="1" x14ac:dyDescent="0.25">
      <c r="A563" s="107"/>
      <c r="B563" s="8"/>
      <c r="C563" s="8"/>
      <c r="D563" s="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107"/>
      <c r="AK563" s="107"/>
      <c r="AL563" s="107"/>
      <c r="AM563" s="107"/>
      <c r="AN563" s="107"/>
      <c r="AO563" s="107"/>
      <c r="AP563" s="107"/>
      <c r="AQ563" s="107"/>
      <c r="AR563" s="5"/>
      <c r="AS563" s="5"/>
    </row>
    <row r="564" spans="1:45" ht="15.75" customHeight="1" x14ac:dyDescent="0.25">
      <c r="A564" s="107"/>
      <c r="B564" s="8"/>
      <c r="C564" s="8"/>
      <c r="D564" s="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107"/>
      <c r="AK564" s="107"/>
      <c r="AL564" s="107"/>
      <c r="AM564" s="107"/>
      <c r="AN564" s="107"/>
      <c r="AO564" s="107"/>
      <c r="AP564" s="107"/>
      <c r="AQ564" s="107"/>
      <c r="AR564" s="5"/>
      <c r="AS564" s="5"/>
    </row>
    <row r="565" spans="1:45" ht="15.75" customHeight="1" x14ac:dyDescent="0.25">
      <c r="A565" s="107"/>
      <c r="B565" s="8"/>
      <c r="C565" s="8"/>
      <c r="D565" s="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107"/>
      <c r="AK565" s="107"/>
      <c r="AL565" s="107"/>
      <c r="AM565" s="107"/>
      <c r="AN565" s="107"/>
      <c r="AO565" s="107"/>
      <c r="AP565" s="107"/>
      <c r="AQ565" s="107"/>
      <c r="AR565" s="5"/>
      <c r="AS565" s="5"/>
    </row>
    <row r="566" spans="1:45" ht="15.75" customHeight="1" x14ac:dyDescent="0.25">
      <c r="A566" s="107"/>
      <c r="B566" s="8"/>
      <c r="C566" s="8"/>
      <c r="D566" s="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107"/>
      <c r="AK566" s="107"/>
      <c r="AL566" s="107"/>
      <c r="AM566" s="107"/>
      <c r="AN566" s="107"/>
      <c r="AO566" s="107"/>
      <c r="AP566" s="107"/>
      <c r="AQ566" s="107"/>
      <c r="AR566" s="5"/>
      <c r="AS566" s="5"/>
    </row>
    <row r="567" spans="1:45" ht="15.75" customHeight="1" x14ac:dyDescent="0.25">
      <c r="A567" s="107"/>
      <c r="B567" s="8"/>
      <c r="C567" s="8"/>
      <c r="D567" s="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107"/>
      <c r="AK567" s="107"/>
      <c r="AL567" s="107"/>
      <c r="AM567" s="107"/>
      <c r="AN567" s="107"/>
      <c r="AO567" s="107"/>
      <c r="AP567" s="107"/>
      <c r="AQ567" s="107"/>
      <c r="AR567" s="5"/>
      <c r="AS567" s="5"/>
    </row>
    <row r="568" spans="1:45" ht="15.75" customHeight="1" x14ac:dyDescent="0.25">
      <c r="A568" s="107"/>
      <c r="B568" s="8"/>
      <c r="C568" s="8"/>
      <c r="D568" s="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107"/>
      <c r="AK568" s="107"/>
      <c r="AL568" s="107"/>
      <c r="AM568" s="107"/>
      <c r="AN568" s="107"/>
      <c r="AO568" s="107"/>
      <c r="AP568" s="107"/>
      <c r="AQ568" s="107"/>
      <c r="AR568" s="5"/>
      <c r="AS568" s="5"/>
    </row>
    <row r="569" spans="1:45" ht="15.75" customHeight="1" x14ac:dyDescent="0.25">
      <c r="A569" s="107"/>
      <c r="B569" s="8"/>
      <c r="C569" s="8"/>
      <c r="D569" s="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107"/>
      <c r="AK569" s="107"/>
      <c r="AL569" s="107"/>
      <c r="AM569" s="107"/>
      <c r="AN569" s="107"/>
      <c r="AO569" s="107"/>
      <c r="AP569" s="107"/>
      <c r="AQ569" s="107"/>
      <c r="AR569" s="5"/>
      <c r="AS569" s="5"/>
    </row>
    <row r="570" spans="1:45" ht="15.75" customHeight="1" x14ac:dyDescent="0.25">
      <c r="A570" s="107"/>
      <c r="B570" s="8"/>
      <c r="C570" s="8"/>
      <c r="D570" s="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107"/>
      <c r="AK570" s="107"/>
      <c r="AL570" s="107"/>
      <c r="AM570" s="107"/>
      <c r="AN570" s="107"/>
      <c r="AO570" s="107"/>
      <c r="AP570" s="107"/>
      <c r="AQ570" s="107"/>
      <c r="AR570" s="5"/>
      <c r="AS570" s="5"/>
    </row>
    <row r="571" spans="1:45" ht="15.75" customHeight="1" x14ac:dyDescent="0.25">
      <c r="A571" s="107"/>
      <c r="B571" s="8"/>
      <c r="C571" s="8"/>
      <c r="D571" s="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107"/>
      <c r="AK571" s="107"/>
      <c r="AL571" s="107"/>
      <c r="AM571" s="107"/>
      <c r="AN571" s="107"/>
      <c r="AO571" s="107"/>
      <c r="AP571" s="107"/>
      <c r="AQ571" s="107"/>
      <c r="AR571" s="5"/>
      <c r="AS571" s="5"/>
    </row>
    <row r="572" spans="1:45" ht="15.75" customHeight="1" x14ac:dyDescent="0.25">
      <c r="A572" s="107"/>
      <c r="B572" s="8"/>
      <c r="C572" s="8"/>
      <c r="D572" s="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107"/>
      <c r="AK572" s="107"/>
      <c r="AL572" s="107"/>
      <c r="AM572" s="107"/>
      <c r="AN572" s="107"/>
      <c r="AO572" s="107"/>
      <c r="AP572" s="107"/>
      <c r="AQ572" s="107"/>
      <c r="AR572" s="5"/>
      <c r="AS572" s="5"/>
    </row>
    <row r="573" spans="1:45" ht="15.75" customHeight="1" x14ac:dyDescent="0.25">
      <c r="A573" s="107"/>
      <c r="B573" s="8"/>
      <c r="C573" s="8"/>
      <c r="D573" s="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107"/>
      <c r="AK573" s="107"/>
      <c r="AL573" s="107"/>
      <c r="AM573" s="107"/>
      <c r="AN573" s="107"/>
      <c r="AO573" s="107"/>
      <c r="AP573" s="107"/>
      <c r="AQ573" s="107"/>
      <c r="AR573" s="5"/>
      <c r="AS573" s="5"/>
    </row>
    <row r="574" spans="1:45" ht="15.75" customHeight="1" x14ac:dyDescent="0.25">
      <c r="A574" s="107"/>
      <c r="B574" s="8"/>
      <c r="C574" s="8"/>
      <c r="D574" s="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107"/>
      <c r="AK574" s="107"/>
      <c r="AL574" s="107"/>
      <c r="AM574" s="107"/>
      <c r="AN574" s="107"/>
      <c r="AO574" s="107"/>
      <c r="AP574" s="107"/>
      <c r="AQ574" s="107"/>
      <c r="AR574" s="5"/>
      <c r="AS574" s="5"/>
    </row>
    <row r="575" spans="1:45" ht="15.75" customHeight="1" x14ac:dyDescent="0.25">
      <c r="A575" s="107"/>
      <c r="B575" s="8"/>
      <c r="C575" s="8"/>
      <c r="D575" s="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107"/>
      <c r="AK575" s="107"/>
      <c r="AL575" s="107"/>
      <c r="AM575" s="107"/>
      <c r="AN575" s="107"/>
      <c r="AO575" s="107"/>
      <c r="AP575" s="107"/>
      <c r="AQ575" s="107"/>
      <c r="AR575" s="5"/>
      <c r="AS575" s="5"/>
    </row>
    <row r="576" spans="1:45" ht="15.75" customHeight="1" x14ac:dyDescent="0.25">
      <c r="A576" s="107"/>
      <c r="B576" s="8"/>
      <c r="C576" s="8"/>
      <c r="D576" s="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107"/>
      <c r="AK576" s="107"/>
      <c r="AL576" s="107"/>
      <c r="AM576" s="107"/>
      <c r="AN576" s="107"/>
      <c r="AO576" s="107"/>
      <c r="AP576" s="107"/>
      <c r="AQ576" s="107"/>
      <c r="AR576" s="5"/>
      <c r="AS576" s="5"/>
    </row>
    <row r="577" spans="1:45" ht="15.75" customHeight="1" x14ac:dyDescent="0.25">
      <c r="A577" s="107"/>
      <c r="B577" s="8"/>
      <c r="C577" s="8"/>
      <c r="D577" s="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107"/>
      <c r="AK577" s="107"/>
      <c r="AL577" s="107"/>
      <c r="AM577" s="107"/>
      <c r="AN577" s="107"/>
      <c r="AO577" s="107"/>
      <c r="AP577" s="107"/>
      <c r="AQ577" s="107"/>
      <c r="AR577" s="5"/>
      <c r="AS577" s="5"/>
    </row>
    <row r="578" spans="1:45" ht="15.75" customHeight="1" x14ac:dyDescent="0.25">
      <c r="A578" s="107"/>
      <c r="B578" s="8"/>
      <c r="C578" s="8"/>
      <c r="D578" s="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107"/>
      <c r="AK578" s="107"/>
      <c r="AL578" s="107"/>
      <c r="AM578" s="107"/>
      <c r="AN578" s="107"/>
      <c r="AO578" s="107"/>
      <c r="AP578" s="107"/>
      <c r="AQ578" s="107"/>
      <c r="AR578" s="5"/>
      <c r="AS578" s="5"/>
    </row>
    <row r="579" spans="1:45" ht="15.75" customHeight="1" x14ac:dyDescent="0.25">
      <c r="A579" s="107"/>
      <c r="B579" s="8"/>
      <c r="C579" s="8"/>
      <c r="D579" s="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107"/>
      <c r="AK579" s="107"/>
      <c r="AL579" s="107"/>
      <c r="AM579" s="107"/>
      <c r="AN579" s="107"/>
      <c r="AO579" s="107"/>
      <c r="AP579" s="107"/>
      <c r="AQ579" s="107"/>
      <c r="AR579" s="5"/>
      <c r="AS579" s="5"/>
    </row>
    <row r="580" spans="1:45" ht="15.75" customHeight="1" x14ac:dyDescent="0.25">
      <c r="A580" s="107"/>
      <c r="B580" s="8"/>
      <c r="C580" s="8"/>
      <c r="D580" s="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107"/>
      <c r="AK580" s="107"/>
      <c r="AL580" s="107"/>
      <c r="AM580" s="107"/>
      <c r="AN580" s="107"/>
      <c r="AO580" s="107"/>
      <c r="AP580" s="107"/>
      <c r="AQ580" s="107"/>
      <c r="AR580" s="5"/>
      <c r="AS580" s="5"/>
    </row>
    <row r="581" spans="1:45" ht="15.75" customHeight="1" x14ac:dyDescent="0.25">
      <c r="A581" s="107"/>
      <c r="B581" s="8"/>
      <c r="C581" s="8"/>
      <c r="D581" s="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107"/>
      <c r="AK581" s="107"/>
      <c r="AL581" s="107"/>
      <c r="AM581" s="107"/>
      <c r="AN581" s="107"/>
      <c r="AO581" s="107"/>
      <c r="AP581" s="107"/>
      <c r="AQ581" s="107"/>
      <c r="AR581" s="5"/>
      <c r="AS581" s="5"/>
    </row>
    <row r="582" spans="1:45" ht="15.75" customHeight="1" x14ac:dyDescent="0.25">
      <c r="A582" s="107"/>
      <c r="B582" s="8"/>
      <c r="C582" s="8"/>
      <c r="D582" s="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107"/>
      <c r="AK582" s="107"/>
      <c r="AL582" s="107"/>
      <c r="AM582" s="107"/>
      <c r="AN582" s="107"/>
      <c r="AO582" s="107"/>
      <c r="AP582" s="107"/>
      <c r="AQ582" s="107"/>
      <c r="AR582" s="5"/>
      <c r="AS582" s="5"/>
    </row>
    <row r="583" spans="1:45" ht="15.75" customHeight="1" x14ac:dyDescent="0.25">
      <c r="A583" s="107"/>
      <c r="B583" s="8"/>
      <c r="C583" s="8"/>
      <c r="D583" s="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107"/>
      <c r="AK583" s="107"/>
      <c r="AL583" s="107"/>
      <c r="AM583" s="107"/>
      <c r="AN583" s="107"/>
      <c r="AO583" s="107"/>
      <c r="AP583" s="107"/>
      <c r="AQ583" s="107"/>
      <c r="AR583" s="5"/>
      <c r="AS583" s="5"/>
    </row>
    <row r="584" spans="1:45" ht="15.75" customHeight="1" x14ac:dyDescent="0.25">
      <c r="A584" s="107"/>
      <c r="B584" s="8"/>
      <c r="C584" s="8"/>
      <c r="D584" s="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107"/>
      <c r="AK584" s="107"/>
      <c r="AL584" s="107"/>
      <c r="AM584" s="107"/>
      <c r="AN584" s="107"/>
      <c r="AO584" s="107"/>
      <c r="AP584" s="107"/>
      <c r="AQ584" s="107"/>
      <c r="AR584" s="5"/>
      <c r="AS584" s="5"/>
    </row>
    <row r="585" spans="1:45" ht="15.75" customHeight="1" x14ac:dyDescent="0.25">
      <c r="A585" s="107"/>
      <c r="B585" s="8"/>
      <c r="C585" s="8"/>
      <c r="D585" s="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107"/>
      <c r="AK585" s="107"/>
      <c r="AL585" s="107"/>
      <c r="AM585" s="107"/>
      <c r="AN585" s="107"/>
      <c r="AO585" s="107"/>
      <c r="AP585" s="107"/>
      <c r="AQ585" s="107"/>
      <c r="AR585" s="5"/>
      <c r="AS585" s="5"/>
    </row>
    <row r="586" spans="1:45" ht="15.75" customHeight="1" x14ac:dyDescent="0.25">
      <c r="A586" s="107"/>
      <c r="B586" s="8"/>
      <c r="C586" s="8"/>
      <c r="D586" s="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107"/>
      <c r="AK586" s="107"/>
      <c r="AL586" s="107"/>
      <c r="AM586" s="107"/>
      <c r="AN586" s="107"/>
      <c r="AO586" s="107"/>
      <c r="AP586" s="107"/>
      <c r="AQ586" s="107"/>
      <c r="AR586" s="5"/>
      <c r="AS586" s="5"/>
    </row>
    <row r="587" spans="1:45" ht="15.75" customHeight="1" x14ac:dyDescent="0.25">
      <c r="A587" s="107"/>
      <c r="B587" s="8"/>
      <c r="C587" s="8"/>
      <c r="D587" s="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107"/>
      <c r="AK587" s="107"/>
      <c r="AL587" s="107"/>
      <c r="AM587" s="107"/>
      <c r="AN587" s="107"/>
      <c r="AO587" s="107"/>
      <c r="AP587" s="107"/>
      <c r="AQ587" s="107"/>
      <c r="AR587" s="5"/>
      <c r="AS587" s="5"/>
    </row>
    <row r="588" spans="1:45" ht="15.75" customHeight="1" x14ac:dyDescent="0.25">
      <c r="A588" s="107"/>
      <c r="B588" s="8"/>
      <c r="C588" s="8"/>
      <c r="D588" s="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107"/>
      <c r="AK588" s="107"/>
      <c r="AL588" s="107"/>
      <c r="AM588" s="107"/>
      <c r="AN588" s="107"/>
      <c r="AO588" s="107"/>
      <c r="AP588" s="107"/>
      <c r="AQ588" s="107"/>
      <c r="AR588" s="5"/>
      <c r="AS588" s="5"/>
    </row>
    <row r="589" spans="1:45" ht="15.75" customHeight="1" x14ac:dyDescent="0.25">
      <c r="A589" s="107"/>
      <c r="B589" s="8"/>
      <c r="C589" s="8"/>
      <c r="D589" s="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107"/>
      <c r="AK589" s="107"/>
      <c r="AL589" s="107"/>
      <c r="AM589" s="107"/>
      <c r="AN589" s="107"/>
      <c r="AO589" s="107"/>
      <c r="AP589" s="107"/>
      <c r="AQ589" s="107"/>
      <c r="AR589" s="5"/>
      <c r="AS589" s="5"/>
    </row>
    <row r="590" spans="1:45" ht="15.75" customHeight="1" x14ac:dyDescent="0.25">
      <c r="A590" s="107"/>
      <c r="B590" s="8"/>
      <c r="C590" s="8"/>
      <c r="D590" s="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107"/>
      <c r="AK590" s="107"/>
      <c r="AL590" s="107"/>
      <c r="AM590" s="107"/>
      <c r="AN590" s="107"/>
      <c r="AO590" s="107"/>
      <c r="AP590" s="107"/>
      <c r="AQ590" s="107"/>
      <c r="AR590" s="5"/>
      <c r="AS590" s="5"/>
    </row>
    <row r="591" spans="1:45" ht="15.75" customHeight="1" x14ac:dyDescent="0.25">
      <c r="A591" s="107"/>
      <c r="B591" s="8"/>
      <c r="C591" s="8"/>
      <c r="D591" s="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107"/>
      <c r="AK591" s="107"/>
      <c r="AL591" s="107"/>
      <c r="AM591" s="107"/>
      <c r="AN591" s="107"/>
      <c r="AO591" s="107"/>
      <c r="AP591" s="107"/>
      <c r="AQ591" s="107"/>
      <c r="AR591" s="5"/>
      <c r="AS591" s="5"/>
    </row>
    <row r="592" spans="1:45" ht="15.75" customHeight="1" x14ac:dyDescent="0.25">
      <c r="A592" s="107"/>
      <c r="B592" s="8"/>
      <c r="C592" s="8"/>
      <c r="D592" s="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107"/>
      <c r="AK592" s="107"/>
      <c r="AL592" s="107"/>
      <c r="AM592" s="107"/>
      <c r="AN592" s="107"/>
      <c r="AO592" s="107"/>
      <c r="AP592" s="107"/>
      <c r="AQ592" s="107"/>
      <c r="AR592" s="5"/>
      <c r="AS592" s="5"/>
    </row>
    <row r="593" spans="1:45" ht="15.75" customHeight="1" x14ac:dyDescent="0.25">
      <c r="A593" s="107"/>
      <c r="B593" s="8"/>
      <c r="C593" s="8"/>
      <c r="D593" s="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107"/>
      <c r="AK593" s="107"/>
      <c r="AL593" s="107"/>
      <c r="AM593" s="107"/>
      <c r="AN593" s="107"/>
      <c r="AO593" s="107"/>
      <c r="AP593" s="107"/>
      <c r="AQ593" s="107"/>
      <c r="AR593" s="5"/>
      <c r="AS593" s="5"/>
    </row>
    <row r="594" spans="1:45" ht="15.75" customHeight="1" x14ac:dyDescent="0.25">
      <c r="A594" s="107"/>
      <c r="B594" s="8"/>
      <c r="C594" s="8"/>
      <c r="D594" s="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107"/>
      <c r="AK594" s="107"/>
      <c r="AL594" s="107"/>
      <c r="AM594" s="107"/>
      <c r="AN594" s="107"/>
      <c r="AO594" s="107"/>
      <c r="AP594" s="107"/>
      <c r="AQ594" s="107"/>
      <c r="AR594" s="5"/>
      <c r="AS594" s="5"/>
    </row>
    <row r="595" spans="1:45" ht="15.75" customHeight="1" x14ac:dyDescent="0.25">
      <c r="A595" s="107"/>
      <c r="B595" s="8"/>
      <c r="C595" s="8"/>
      <c r="D595" s="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107"/>
      <c r="AK595" s="107"/>
      <c r="AL595" s="107"/>
      <c r="AM595" s="107"/>
      <c r="AN595" s="107"/>
      <c r="AO595" s="107"/>
      <c r="AP595" s="107"/>
      <c r="AQ595" s="107"/>
      <c r="AR595" s="5"/>
      <c r="AS595" s="5"/>
    </row>
    <row r="596" spans="1:45" ht="15.75" customHeight="1" x14ac:dyDescent="0.25">
      <c r="A596" s="107"/>
      <c r="B596" s="8"/>
      <c r="C596" s="8"/>
      <c r="D596" s="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107"/>
      <c r="AK596" s="107"/>
      <c r="AL596" s="107"/>
      <c r="AM596" s="107"/>
      <c r="AN596" s="107"/>
      <c r="AO596" s="107"/>
      <c r="AP596" s="107"/>
      <c r="AQ596" s="107"/>
      <c r="AR596" s="5"/>
      <c r="AS596" s="5"/>
    </row>
    <row r="597" spans="1:45" ht="15.75" customHeight="1" x14ac:dyDescent="0.25">
      <c r="A597" s="107"/>
      <c r="B597" s="8"/>
      <c r="C597" s="8"/>
      <c r="D597" s="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107"/>
      <c r="AK597" s="107"/>
      <c r="AL597" s="107"/>
      <c r="AM597" s="107"/>
      <c r="AN597" s="107"/>
      <c r="AO597" s="107"/>
      <c r="AP597" s="107"/>
      <c r="AQ597" s="107"/>
      <c r="AR597" s="5"/>
      <c r="AS597" s="5"/>
    </row>
    <row r="598" spans="1:45" ht="15.75" customHeight="1" x14ac:dyDescent="0.25">
      <c r="A598" s="107"/>
      <c r="B598" s="8"/>
      <c r="C598" s="8"/>
      <c r="D598" s="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107"/>
      <c r="AK598" s="107"/>
      <c r="AL598" s="107"/>
      <c r="AM598" s="107"/>
      <c r="AN598" s="107"/>
      <c r="AO598" s="107"/>
      <c r="AP598" s="107"/>
      <c r="AQ598" s="107"/>
      <c r="AR598" s="5"/>
      <c r="AS598" s="5"/>
    </row>
    <row r="599" spans="1:45" ht="15.75" customHeight="1" x14ac:dyDescent="0.25">
      <c r="A599" s="107"/>
      <c r="B599" s="8"/>
      <c r="C599" s="8"/>
      <c r="D599" s="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107"/>
      <c r="AK599" s="107"/>
      <c r="AL599" s="107"/>
      <c r="AM599" s="107"/>
      <c r="AN599" s="107"/>
      <c r="AO599" s="107"/>
      <c r="AP599" s="107"/>
      <c r="AQ599" s="107"/>
      <c r="AR599" s="5"/>
      <c r="AS599" s="5"/>
    </row>
    <row r="600" spans="1:45" ht="15.75" customHeight="1" x14ac:dyDescent="0.25">
      <c r="A600" s="107"/>
      <c r="B600" s="8"/>
      <c r="C600" s="8"/>
      <c r="D600" s="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107"/>
      <c r="AK600" s="107"/>
      <c r="AL600" s="107"/>
      <c r="AM600" s="107"/>
      <c r="AN600" s="107"/>
      <c r="AO600" s="107"/>
      <c r="AP600" s="107"/>
      <c r="AQ600" s="107"/>
      <c r="AR600" s="5"/>
      <c r="AS600" s="5"/>
    </row>
    <row r="601" spans="1:45" ht="15.75" customHeight="1" x14ac:dyDescent="0.25">
      <c r="A601" s="107"/>
      <c r="B601" s="8"/>
      <c r="C601" s="8"/>
      <c r="D601" s="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107"/>
      <c r="AK601" s="107"/>
      <c r="AL601" s="107"/>
      <c r="AM601" s="107"/>
      <c r="AN601" s="107"/>
      <c r="AO601" s="107"/>
      <c r="AP601" s="107"/>
      <c r="AQ601" s="107"/>
      <c r="AR601" s="5"/>
      <c r="AS601" s="5"/>
    </row>
    <row r="602" spans="1:45" ht="15.75" customHeight="1" x14ac:dyDescent="0.25">
      <c r="A602" s="107"/>
      <c r="B602" s="8"/>
      <c r="C602" s="8"/>
      <c r="D602" s="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107"/>
      <c r="AK602" s="107"/>
      <c r="AL602" s="107"/>
      <c r="AM602" s="107"/>
      <c r="AN602" s="107"/>
      <c r="AO602" s="107"/>
      <c r="AP602" s="107"/>
      <c r="AQ602" s="107"/>
      <c r="AR602" s="5"/>
      <c r="AS602" s="5"/>
    </row>
    <row r="603" spans="1:45" ht="15.75" customHeight="1" x14ac:dyDescent="0.25">
      <c r="A603" s="107"/>
      <c r="B603" s="8"/>
      <c r="C603" s="8"/>
      <c r="D603" s="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107"/>
      <c r="AK603" s="107"/>
      <c r="AL603" s="107"/>
      <c r="AM603" s="107"/>
      <c r="AN603" s="107"/>
      <c r="AO603" s="107"/>
      <c r="AP603" s="107"/>
      <c r="AQ603" s="107"/>
      <c r="AR603" s="5"/>
      <c r="AS603" s="5"/>
    </row>
    <row r="604" spans="1:45" ht="15.75" customHeight="1" x14ac:dyDescent="0.25">
      <c r="A604" s="107"/>
      <c r="B604" s="8"/>
      <c r="C604" s="8"/>
      <c r="D604" s="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107"/>
      <c r="AK604" s="107"/>
      <c r="AL604" s="107"/>
      <c r="AM604" s="107"/>
      <c r="AN604" s="107"/>
      <c r="AO604" s="107"/>
      <c r="AP604" s="107"/>
      <c r="AQ604" s="107"/>
      <c r="AR604" s="5"/>
      <c r="AS604" s="5"/>
    </row>
    <row r="605" spans="1:45" ht="15.75" customHeight="1" x14ac:dyDescent="0.25">
      <c r="A605" s="107"/>
      <c r="B605" s="8"/>
      <c r="C605" s="8"/>
      <c r="D605" s="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107"/>
      <c r="AK605" s="107"/>
      <c r="AL605" s="107"/>
      <c r="AM605" s="107"/>
      <c r="AN605" s="107"/>
      <c r="AO605" s="107"/>
      <c r="AP605" s="107"/>
      <c r="AQ605" s="107"/>
      <c r="AR605" s="5"/>
      <c r="AS605" s="5"/>
    </row>
    <row r="606" spans="1:45" ht="15.75" customHeight="1" x14ac:dyDescent="0.25">
      <c r="A606" s="107"/>
      <c r="B606" s="8"/>
      <c r="C606" s="8"/>
      <c r="D606" s="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107"/>
      <c r="AK606" s="107"/>
      <c r="AL606" s="107"/>
      <c r="AM606" s="107"/>
      <c r="AN606" s="107"/>
      <c r="AO606" s="107"/>
      <c r="AP606" s="107"/>
      <c r="AQ606" s="107"/>
      <c r="AR606" s="5"/>
      <c r="AS606" s="5"/>
    </row>
    <row r="607" spans="1:45" ht="15.75" customHeight="1" x14ac:dyDescent="0.25">
      <c r="A607" s="107"/>
      <c r="B607" s="8"/>
      <c r="C607" s="8"/>
      <c r="D607" s="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107"/>
      <c r="AK607" s="107"/>
      <c r="AL607" s="107"/>
      <c r="AM607" s="107"/>
      <c r="AN607" s="107"/>
      <c r="AO607" s="107"/>
      <c r="AP607" s="107"/>
      <c r="AQ607" s="107"/>
      <c r="AR607" s="5"/>
      <c r="AS607" s="5"/>
    </row>
    <row r="608" spans="1:45" ht="15.75" customHeight="1" x14ac:dyDescent="0.25">
      <c r="A608" s="107"/>
      <c r="B608" s="8"/>
      <c r="C608" s="8"/>
      <c r="D608" s="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107"/>
      <c r="AK608" s="107"/>
      <c r="AL608" s="107"/>
      <c r="AM608" s="107"/>
      <c r="AN608" s="107"/>
      <c r="AO608" s="107"/>
      <c r="AP608" s="107"/>
      <c r="AQ608" s="107"/>
      <c r="AR608" s="5"/>
      <c r="AS608" s="5"/>
    </row>
    <row r="609" spans="1:45" ht="15.75" customHeight="1" x14ac:dyDescent="0.25">
      <c r="A609" s="107"/>
      <c r="B609" s="8"/>
      <c r="C609" s="8"/>
      <c r="D609" s="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107"/>
      <c r="AK609" s="107"/>
      <c r="AL609" s="107"/>
      <c r="AM609" s="107"/>
      <c r="AN609" s="107"/>
      <c r="AO609" s="107"/>
      <c r="AP609" s="107"/>
      <c r="AQ609" s="107"/>
      <c r="AR609" s="5"/>
      <c r="AS609" s="5"/>
    </row>
    <row r="610" spans="1:45" ht="15.75" customHeight="1" x14ac:dyDescent="0.25">
      <c r="A610" s="107"/>
      <c r="B610" s="8"/>
      <c r="C610" s="8"/>
      <c r="D610" s="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107"/>
      <c r="AK610" s="107"/>
      <c r="AL610" s="107"/>
      <c r="AM610" s="107"/>
      <c r="AN610" s="107"/>
      <c r="AO610" s="107"/>
      <c r="AP610" s="107"/>
      <c r="AQ610" s="107"/>
      <c r="AR610" s="5"/>
      <c r="AS610" s="5"/>
    </row>
    <row r="611" spans="1:45" ht="15.75" customHeight="1" x14ac:dyDescent="0.25">
      <c r="A611" s="107"/>
      <c r="B611" s="8"/>
      <c r="C611" s="8"/>
      <c r="D611" s="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107"/>
      <c r="AK611" s="107"/>
      <c r="AL611" s="107"/>
      <c r="AM611" s="107"/>
      <c r="AN611" s="107"/>
      <c r="AO611" s="107"/>
      <c r="AP611" s="107"/>
      <c r="AQ611" s="107"/>
      <c r="AR611" s="5"/>
      <c r="AS611" s="5"/>
    </row>
    <row r="612" spans="1:45" ht="15.75" customHeight="1" x14ac:dyDescent="0.25">
      <c r="A612" s="107"/>
      <c r="B612" s="8"/>
      <c r="C612" s="8"/>
      <c r="D612" s="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107"/>
      <c r="AK612" s="107"/>
      <c r="AL612" s="107"/>
      <c r="AM612" s="107"/>
      <c r="AN612" s="107"/>
      <c r="AO612" s="107"/>
      <c r="AP612" s="107"/>
      <c r="AQ612" s="107"/>
      <c r="AR612" s="5"/>
      <c r="AS612" s="5"/>
    </row>
    <row r="613" spans="1:45" ht="15.75" customHeight="1" x14ac:dyDescent="0.25">
      <c r="A613" s="107"/>
      <c r="B613" s="8"/>
      <c r="C613" s="8"/>
      <c r="D613" s="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107"/>
      <c r="AK613" s="107"/>
      <c r="AL613" s="107"/>
      <c r="AM613" s="107"/>
      <c r="AN613" s="107"/>
      <c r="AO613" s="107"/>
      <c r="AP613" s="107"/>
      <c r="AQ613" s="107"/>
      <c r="AR613" s="5"/>
      <c r="AS613" s="5"/>
    </row>
    <row r="614" spans="1:45" ht="15.75" customHeight="1" x14ac:dyDescent="0.25">
      <c r="A614" s="107"/>
      <c r="B614" s="8"/>
      <c r="C614" s="8"/>
      <c r="D614" s="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107"/>
      <c r="AK614" s="107"/>
      <c r="AL614" s="107"/>
      <c r="AM614" s="107"/>
      <c r="AN614" s="107"/>
      <c r="AO614" s="107"/>
      <c r="AP614" s="107"/>
      <c r="AQ614" s="107"/>
      <c r="AR614" s="5"/>
      <c r="AS614" s="5"/>
    </row>
    <row r="615" spans="1:45" ht="15.75" customHeight="1" x14ac:dyDescent="0.25">
      <c r="A615" s="107"/>
      <c r="B615" s="8"/>
      <c r="C615" s="8"/>
      <c r="D615" s="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107"/>
      <c r="AK615" s="107"/>
      <c r="AL615" s="107"/>
      <c r="AM615" s="107"/>
      <c r="AN615" s="107"/>
      <c r="AO615" s="107"/>
      <c r="AP615" s="107"/>
      <c r="AQ615" s="107"/>
      <c r="AR615" s="5"/>
      <c r="AS615" s="5"/>
    </row>
    <row r="616" spans="1:45" ht="15.75" customHeight="1" x14ac:dyDescent="0.25">
      <c r="A616" s="107"/>
      <c r="B616" s="8"/>
      <c r="C616" s="8"/>
      <c r="D616" s="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107"/>
      <c r="AK616" s="107"/>
      <c r="AL616" s="107"/>
      <c r="AM616" s="107"/>
      <c r="AN616" s="107"/>
      <c r="AO616" s="107"/>
      <c r="AP616" s="107"/>
      <c r="AQ616" s="107"/>
      <c r="AR616" s="5"/>
      <c r="AS616" s="5"/>
    </row>
    <row r="617" spans="1:45" ht="15.75" customHeight="1" x14ac:dyDescent="0.25">
      <c r="A617" s="107"/>
      <c r="B617" s="8"/>
      <c r="C617" s="8"/>
      <c r="D617" s="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107"/>
      <c r="AK617" s="107"/>
      <c r="AL617" s="107"/>
      <c r="AM617" s="107"/>
      <c r="AN617" s="107"/>
      <c r="AO617" s="107"/>
      <c r="AP617" s="107"/>
      <c r="AQ617" s="107"/>
      <c r="AR617" s="5"/>
      <c r="AS617" s="5"/>
    </row>
    <row r="618" spans="1:45" ht="15.75" customHeight="1" x14ac:dyDescent="0.25">
      <c r="A618" s="107"/>
      <c r="B618" s="8"/>
      <c r="C618" s="8"/>
      <c r="D618" s="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107"/>
      <c r="AK618" s="107"/>
      <c r="AL618" s="107"/>
      <c r="AM618" s="107"/>
      <c r="AN618" s="107"/>
      <c r="AO618" s="107"/>
      <c r="AP618" s="107"/>
      <c r="AQ618" s="107"/>
      <c r="AR618" s="5"/>
      <c r="AS618" s="5"/>
    </row>
    <row r="619" spans="1:45" ht="15.75" customHeight="1" x14ac:dyDescent="0.25">
      <c r="A619" s="107"/>
      <c r="B619" s="8"/>
      <c r="C619" s="8"/>
      <c r="D619" s="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107"/>
      <c r="AK619" s="107"/>
      <c r="AL619" s="107"/>
      <c r="AM619" s="107"/>
      <c r="AN619" s="107"/>
      <c r="AO619" s="107"/>
      <c r="AP619" s="107"/>
      <c r="AQ619" s="107"/>
      <c r="AR619" s="5"/>
      <c r="AS619" s="5"/>
    </row>
    <row r="620" spans="1:45" ht="15.75" customHeight="1" x14ac:dyDescent="0.25">
      <c r="A620" s="107"/>
      <c r="B620" s="8"/>
      <c r="C620" s="8"/>
      <c r="D620" s="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107"/>
      <c r="AK620" s="107"/>
      <c r="AL620" s="107"/>
      <c r="AM620" s="107"/>
      <c r="AN620" s="107"/>
      <c r="AO620" s="107"/>
      <c r="AP620" s="107"/>
      <c r="AQ620" s="107"/>
      <c r="AR620" s="5"/>
      <c r="AS620" s="5"/>
    </row>
    <row r="621" spans="1:45" ht="15.75" customHeight="1" x14ac:dyDescent="0.25">
      <c r="A621" s="107"/>
      <c r="B621" s="8"/>
      <c r="C621" s="8"/>
      <c r="D621" s="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107"/>
      <c r="AK621" s="107"/>
      <c r="AL621" s="107"/>
      <c r="AM621" s="107"/>
      <c r="AN621" s="107"/>
      <c r="AO621" s="107"/>
      <c r="AP621" s="107"/>
      <c r="AQ621" s="107"/>
      <c r="AR621" s="5"/>
      <c r="AS621" s="5"/>
    </row>
    <row r="622" spans="1:45" ht="15.75" customHeight="1" x14ac:dyDescent="0.25">
      <c r="A622" s="107"/>
      <c r="B622" s="8"/>
      <c r="C622" s="8"/>
      <c r="D622" s="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107"/>
      <c r="AK622" s="107"/>
      <c r="AL622" s="107"/>
      <c r="AM622" s="107"/>
      <c r="AN622" s="107"/>
      <c r="AO622" s="107"/>
      <c r="AP622" s="107"/>
      <c r="AQ622" s="107"/>
      <c r="AR622" s="5"/>
      <c r="AS622" s="5"/>
    </row>
    <row r="623" spans="1:45" ht="15.75" customHeight="1" x14ac:dyDescent="0.25">
      <c r="A623" s="107"/>
      <c r="B623" s="8"/>
      <c r="C623" s="8"/>
      <c r="D623" s="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107"/>
      <c r="AK623" s="107"/>
      <c r="AL623" s="107"/>
      <c r="AM623" s="107"/>
      <c r="AN623" s="107"/>
      <c r="AO623" s="107"/>
      <c r="AP623" s="107"/>
      <c r="AQ623" s="107"/>
      <c r="AR623" s="5"/>
      <c r="AS623" s="5"/>
    </row>
    <row r="624" spans="1:45" ht="15.75" customHeight="1" x14ac:dyDescent="0.25">
      <c r="A624" s="107"/>
      <c r="B624" s="8"/>
      <c r="C624" s="8"/>
      <c r="D624" s="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107"/>
      <c r="AK624" s="107"/>
      <c r="AL624" s="107"/>
      <c r="AM624" s="107"/>
      <c r="AN624" s="107"/>
      <c r="AO624" s="107"/>
      <c r="AP624" s="107"/>
      <c r="AQ624" s="107"/>
      <c r="AR624" s="5"/>
      <c r="AS624" s="5"/>
    </row>
    <row r="625" spans="1:45" ht="15.75" customHeight="1" x14ac:dyDescent="0.25">
      <c r="A625" s="107"/>
      <c r="B625" s="8"/>
      <c r="C625" s="8"/>
      <c r="D625" s="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107"/>
      <c r="AK625" s="107"/>
      <c r="AL625" s="107"/>
      <c r="AM625" s="107"/>
      <c r="AN625" s="107"/>
      <c r="AO625" s="107"/>
      <c r="AP625" s="107"/>
      <c r="AQ625" s="107"/>
      <c r="AR625" s="5"/>
      <c r="AS625" s="5"/>
    </row>
    <row r="626" spans="1:45" ht="15.75" customHeight="1" x14ac:dyDescent="0.25">
      <c r="A626" s="107"/>
      <c r="B626" s="8"/>
      <c r="C626" s="8"/>
      <c r="D626" s="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107"/>
      <c r="AK626" s="107"/>
      <c r="AL626" s="107"/>
      <c r="AM626" s="107"/>
      <c r="AN626" s="107"/>
      <c r="AO626" s="107"/>
      <c r="AP626" s="107"/>
      <c r="AQ626" s="107"/>
      <c r="AR626" s="5"/>
      <c r="AS626" s="5"/>
    </row>
    <row r="627" spans="1:45" ht="15.75" customHeight="1" x14ac:dyDescent="0.25">
      <c r="A627" s="107"/>
      <c r="B627" s="8"/>
      <c r="C627" s="8"/>
      <c r="D627" s="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107"/>
      <c r="AK627" s="107"/>
      <c r="AL627" s="107"/>
      <c r="AM627" s="107"/>
      <c r="AN627" s="107"/>
      <c r="AO627" s="107"/>
      <c r="AP627" s="107"/>
      <c r="AQ627" s="107"/>
      <c r="AR627" s="5"/>
      <c r="AS627" s="5"/>
    </row>
    <row r="628" spans="1:45" ht="15.75" customHeight="1" x14ac:dyDescent="0.25">
      <c r="A628" s="107"/>
      <c r="B628" s="8"/>
      <c r="C628" s="8"/>
      <c r="D628" s="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107"/>
      <c r="AK628" s="107"/>
      <c r="AL628" s="107"/>
      <c r="AM628" s="107"/>
      <c r="AN628" s="107"/>
      <c r="AO628" s="107"/>
      <c r="AP628" s="107"/>
      <c r="AQ628" s="107"/>
      <c r="AR628" s="5"/>
      <c r="AS628" s="5"/>
    </row>
    <row r="629" spans="1:45" ht="15.75" customHeight="1" x14ac:dyDescent="0.25">
      <c r="A629" s="107"/>
      <c r="B629" s="8"/>
      <c r="C629" s="8"/>
      <c r="D629" s="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107"/>
      <c r="AK629" s="107"/>
      <c r="AL629" s="107"/>
      <c r="AM629" s="107"/>
      <c r="AN629" s="107"/>
      <c r="AO629" s="107"/>
      <c r="AP629" s="107"/>
      <c r="AQ629" s="107"/>
      <c r="AR629" s="5"/>
      <c r="AS629" s="5"/>
    </row>
    <row r="630" spans="1:45" ht="15.75" customHeight="1" x14ac:dyDescent="0.25">
      <c r="A630" s="107"/>
      <c r="B630" s="8"/>
      <c r="C630" s="8"/>
      <c r="D630" s="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107"/>
      <c r="AK630" s="107"/>
      <c r="AL630" s="107"/>
      <c r="AM630" s="107"/>
      <c r="AN630" s="107"/>
      <c r="AO630" s="107"/>
      <c r="AP630" s="107"/>
      <c r="AQ630" s="107"/>
      <c r="AR630" s="5"/>
      <c r="AS630" s="5"/>
    </row>
    <row r="631" spans="1:45" ht="15.75" customHeight="1" x14ac:dyDescent="0.25">
      <c r="A631" s="107"/>
      <c r="B631" s="8"/>
      <c r="C631" s="8"/>
      <c r="D631" s="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107"/>
      <c r="AK631" s="107"/>
      <c r="AL631" s="107"/>
      <c r="AM631" s="107"/>
      <c r="AN631" s="107"/>
      <c r="AO631" s="107"/>
      <c r="AP631" s="107"/>
      <c r="AQ631" s="107"/>
      <c r="AR631" s="5"/>
      <c r="AS631" s="5"/>
    </row>
    <row r="632" spans="1:45" ht="15.75" customHeight="1" x14ac:dyDescent="0.25">
      <c r="A632" s="107"/>
      <c r="B632" s="8"/>
      <c r="C632" s="8"/>
      <c r="D632" s="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107"/>
      <c r="AK632" s="107"/>
      <c r="AL632" s="107"/>
      <c r="AM632" s="107"/>
      <c r="AN632" s="107"/>
      <c r="AO632" s="107"/>
      <c r="AP632" s="107"/>
      <c r="AQ632" s="107"/>
      <c r="AR632" s="5"/>
      <c r="AS632" s="5"/>
    </row>
    <row r="633" spans="1:45" ht="15.75" customHeight="1" x14ac:dyDescent="0.25">
      <c r="A633" s="107"/>
      <c r="B633" s="8"/>
      <c r="C633" s="8"/>
      <c r="D633" s="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107"/>
      <c r="AK633" s="107"/>
      <c r="AL633" s="107"/>
      <c r="AM633" s="107"/>
      <c r="AN633" s="107"/>
      <c r="AO633" s="107"/>
      <c r="AP633" s="107"/>
      <c r="AQ633" s="107"/>
      <c r="AR633" s="5"/>
      <c r="AS633" s="5"/>
    </row>
    <row r="634" spans="1:45" ht="15.75" customHeight="1" x14ac:dyDescent="0.25">
      <c r="A634" s="107"/>
      <c r="B634" s="8"/>
      <c r="C634" s="8"/>
      <c r="D634" s="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107"/>
      <c r="AK634" s="107"/>
      <c r="AL634" s="107"/>
      <c r="AM634" s="107"/>
      <c r="AN634" s="107"/>
      <c r="AO634" s="107"/>
      <c r="AP634" s="107"/>
      <c r="AQ634" s="107"/>
      <c r="AR634" s="5"/>
      <c r="AS634" s="5"/>
    </row>
    <row r="635" spans="1:45" ht="15.75" customHeight="1" x14ac:dyDescent="0.25">
      <c r="A635" s="107"/>
      <c r="B635" s="8"/>
      <c r="C635" s="8"/>
      <c r="D635" s="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107"/>
      <c r="AK635" s="107"/>
      <c r="AL635" s="107"/>
      <c r="AM635" s="107"/>
      <c r="AN635" s="107"/>
      <c r="AO635" s="107"/>
      <c r="AP635" s="107"/>
      <c r="AQ635" s="107"/>
      <c r="AR635" s="5"/>
      <c r="AS635" s="5"/>
    </row>
    <row r="636" spans="1:45" ht="15.75" customHeight="1" x14ac:dyDescent="0.25">
      <c r="A636" s="107"/>
      <c r="B636" s="8"/>
      <c r="C636" s="8"/>
      <c r="D636" s="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107"/>
      <c r="AK636" s="107"/>
      <c r="AL636" s="107"/>
      <c r="AM636" s="107"/>
      <c r="AN636" s="107"/>
      <c r="AO636" s="107"/>
      <c r="AP636" s="107"/>
      <c r="AQ636" s="107"/>
      <c r="AR636" s="5"/>
      <c r="AS636" s="5"/>
    </row>
    <row r="637" spans="1:45" ht="15.75" customHeight="1" x14ac:dyDescent="0.25">
      <c r="A637" s="107"/>
      <c r="B637" s="8"/>
      <c r="C637" s="8"/>
      <c r="D637" s="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107"/>
      <c r="AK637" s="107"/>
      <c r="AL637" s="107"/>
      <c r="AM637" s="107"/>
      <c r="AN637" s="107"/>
      <c r="AO637" s="107"/>
      <c r="AP637" s="107"/>
      <c r="AQ637" s="107"/>
      <c r="AR637" s="5"/>
      <c r="AS637" s="5"/>
    </row>
    <row r="638" spans="1:45" ht="15.75" customHeight="1" x14ac:dyDescent="0.25">
      <c r="A638" s="107"/>
      <c r="B638" s="8"/>
      <c r="C638" s="8"/>
      <c r="D638" s="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107"/>
      <c r="AK638" s="107"/>
      <c r="AL638" s="107"/>
      <c r="AM638" s="107"/>
      <c r="AN638" s="107"/>
      <c r="AO638" s="107"/>
      <c r="AP638" s="107"/>
      <c r="AQ638" s="107"/>
      <c r="AR638" s="5"/>
      <c r="AS638" s="5"/>
    </row>
    <row r="639" spans="1:45" ht="15.75" customHeight="1" x14ac:dyDescent="0.25">
      <c r="A639" s="107"/>
      <c r="B639" s="8"/>
      <c r="C639" s="8"/>
      <c r="D639" s="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107"/>
      <c r="AK639" s="107"/>
      <c r="AL639" s="107"/>
      <c r="AM639" s="107"/>
      <c r="AN639" s="107"/>
      <c r="AO639" s="107"/>
      <c r="AP639" s="107"/>
      <c r="AQ639" s="107"/>
      <c r="AR639" s="5"/>
      <c r="AS639" s="5"/>
    </row>
    <row r="640" spans="1:45" ht="15.75" customHeight="1" x14ac:dyDescent="0.25">
      <c r="A640" s="107"/>
      <c r="B640" s="8"/>
      <c r="C640" s="8"/>
      <c r="D640" s="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107"/>
      <c r="AK640" s="107"/>
      <c r="AL640" s="107"/>
      <c r="AM640" s="107"/>
      <c r="AN640" s="107"/>
      <c r="AO640" s="107"/>
      <c r="AP640" s="107"/>
      <c r="AQ640" s="107"/>
      <c r="AR640" s="5"/>
      <c r="AS640" s="5"/>
    </row>
    <row r="641" spans="1:45" ht="15.75" customHeight="1" x14ac:dyDescent="0.25">
      <c r="A641" s="107"/>
      <c r="B641" s="8"/>
      <c r="C641" s="8"/>
      <c r="D641" s="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107"/>
      <c r="AK641" s="107"/>
      <c r="AL641" s="107"/>
      <c r="AM641" s="107"/>
      <c r="AN641" s="107"/>
      <c r="AO641" s="107"/>
      <c r="AP641" s="107"/>
      <c r="AQ641" s="107"/>
      <c r="AR641" s="5"/>
      <c r="AS641" s="5"/>
    </row>
    <row r="642" spans="1:45" ht="15.75" customHeight="1" x14ac:dyDescent="0.25">
      <c r="A642" s="107"/>
      <c r="B642" s="8"/>
      <c r="C642" s="8"/>
      <c r="D642" s="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107"/>
      <c r="AK642" s="107"/>
      <c r="AL642" s="107"/>
      <c r="AM642" s="107"/>
      <c r="AN642" s="107"/>
      <c r="AO642" s="107"/>
      <c r="AP642" s="107"/>
      <c r="AQ642" s="107"/>
      <c r="AR642" s="5"/>
      <c r="AS642" s="5"/>
    </row>
    <row r="643" spans="1:45" ht="15.75" customHeight="1" x14ac:dyDescent="0.25">
      <c r="A643" s="107"/>
      <c r="B643" s="8"/>
      <c r="C643" s="8"/>
      <c r="D643" s="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107"/>
      <c r="AK643" s="107"/>
      <c r="AL643" s="107"/>
      <c r="AM643" s="107"/>
      <c r="AN643" s="107"/>
      <c r="AO643" s="107"/>
      <c r="AP643" s="107"/>
      <c r="AQ643" s="107"/>
      <c r="AR643" s="5"/>
      <c r="AS643" s="5"/>
    </row>
    <row r="644" spans="1:45" ht="15.75" customHeight="1" x14ac:dyDescent="0.25">
      <c r="A644" s="107"/>
      <c r="B644" s="8"/>
      <c r="C644" s="8"/>
      <c r="D644" s="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107"/>
      <c r="AK644" s="107"/>
      <c r="AL644" s="107"/>
      <c r="AM644" s="107"/>
      <c r="AN644" s="107"/>
      <c r="AO644" s="107"/>
      <c r="AP644" s="107"/>
      <c r="AQ644" s="107"/>
      <c r="AR644" s="5"/>
      <c r="AS644" s="5"/>
    </row>
    <row r="645" spans="1:45" ht="15.75" customHeight="1" x14ac:dyDescent="0.25">
      <c r="A645" s="107"/>
      <c r="B645" s="8"/>
      <c r="C645" s="8"/>
      <c r="D645" s="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107"/>
      <c r="AK645" s="107"/>
      <c r="AL645" s="107"/>
      <c r="AM645" s="107"/>
      <c r="AN645" s="107"/>
      <c r="AO645" s="107"/>
      <c r="AP645" s="107"/>
      <c r="AQ645" s="107"/>
      <c r="AR645" s="5"/>
      <c r="AS645" s="5"/>
    </row>
    <row r="646" spans="1:45" ht="15.75" customHeight="1" x14ac:dyDescent="0.25">
      <c r="A646" s="107"/>
      <c r="B646" s="8"/>
      <c r="C646" s="8"/>
      <c r="D646" s="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107"/>
      <c r="AK646" s="107"/>
      <c r="AL646" s="107"/>
      <c r="AM646" s="107"/>
      <c r="AN646" s="107"/>
      <c r="AO646" s="107"/>
      <c r="AP646" s="107"/>
      <c r="AQ646" s="107"/>
      <c r="AR646" s="5"/>
      <c r="AS646" s="5"/>
    </row>
    <row r="647" spans="1:45" ht="15.75" customHeight="1" x14ac:dyDescent="0.25">
      <c r="A647" s="107"/>
      <c r="B647" s="8"/>
      <c r="C647" s="8"/>
      <c r="D647" s="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107"/>
      <c r="AK647" s="107"/>
      <c r="AL647" s="107"/>
      <c r="AM647" s="107"/>
      <c r="AN647" s="107"/>
      <c r="AO647" s="107"/>
      <c r="AP647" s="107"/>
      <c r="AQ647" s="107"/>
      <c r="AR647" s="5"/>
      <c r="AS647" s="5"/>
    </row>
    <row r="648" spans="1:45" ht="15.75" customHeight="1" x14ac:dyDescent="0.25">
      <c r="A648" s="107"/>
      <c r="B648" s="8"/>
      <c r="C648" s="8"/>
      <c r="D648" s="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107"/>
      <c r="AK648" s="107"/>
      <c r="AL648" s="107"/>
      <c r="AM648" s="107"/>
      <c r="AN648" s="107"/>
      <c r="AO648" s="107"/>
      <c r="AP648" s="107"/>
      <c r="AQ648" s="107"/>
      <c r="AR648" s="5"/>
      <c r="AS648" s="5"/>
    </row>
    <row r="649" spans="1:45" ht="15.75" customHeight="1" x14ac:dyDescent="0.25">
      <c r="A649" s="107"/>
      <c r="B649" s="8"/>
      <c r="C649" s="8"/>
      <c r="D649" s="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107"/>
      <c r="AK649" s="107"/>
      <c r="AL649" s="107"/>
      <c r="AM649" s="107"/>
      <c r="AN649" s="107"/>
      <c r="AO649" s="107"/>
      <c r="AP649" s="107"/>
      <c r="AQ649" s="107"/>
      <c r="AR649" s="5"/>
      <c r="AS649" s="5"/>
    </row>
    <row r="650" spans="1:45" ht="15.75" customHeight="1" x14ac:dyDescent="0.25">
      <c r="A650" s="107"/>
      <c r="B650" s="8"/>
      <c r="C650" s="8"/>
      <c r="D650" s="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107"/>
      <c r="AK650" s="107"/>
      <c r="AL650" s="107"/>
      <c r="AM650" s="107"/>
      <c r="AN650" s="107"/>
      <c r="AO650" s="107"/>
      <c r="AP650" s="107"/>
      <c r="AQ650" s="107"/>
      <c r="AR650" s="5"/>
      <c r="AS650" s="5"/>
    </row>
    <row r="651" spans="1:45" ht="15.75" customHeight="1" x14ac:dyDescent="0.25">
      <c r="A651" s="107"/>
      <c r="B651" s="8"/>
      <c r="C651" s="8"/>
      <c r="D651" s="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107"/>
      <c r="AK651" s="107"/>
      <c r="AL651" s="107"/>
      <c r="AM651" s="107"/>
      <c r="AN651" s="107"/>
      <c r="AO651" s="107"/>
      <c r="AP651" s="107"/>
      <c r="AQ651" s="107"/>
      <c r="AR651" s="5"/>
      <c r="AS651" s="5"/>
    </row>
    <row r="652" spans="1:45" ht="15.75" customHeight="1" x14ac:dyDescent="0.25">
      <c r="A652" s="107"/>
      <c r="B652" s="8"/>
      <c r="C652" s="8"/>
      <c r="D652" s="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107"/>
      <c r="AK652" s="107"/>
      <c r="AL652" s="107"/>
      <c r="AM652" s="107"/>
      <c r="AN652" s="107"/>
      <c r="AO652" s="107"/>
      <c r="AP652" s="107"/>
      <c r="AQ652" s="107"/>
      <c r="AR652" s="5"/>
      <c r="AS652" s="5"/>
    </row>
    <row r="653" spans="1:45" ht="15.75" customHeight="1" x14ac:dyDescent="0.25">
      <c r="A653" s="107"/>
      <c r="B653" s="8"/>
      <c r="C653" s="8"/>
      <c r="D653" s="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107"/>
      <c r="AK653" s="107"/>
      <c r="AL653" s="107"/>
      <c r="AM653" s="107"/>
      <c r="AN653" s="107"/>
      <c r="AO653" s="107"/>
      <c r="AP653" s="107"/>
      <c r="AQ653" s="107"/>
      <c r="AR653" s="5"/>
      <c r="AS653" s="5"/>
    </row>
    <row r="654" spans="1:45" ht="15.75" customHeight="1" x14ac:dyDescent="0.25">
      <c r="A654" s="107"/>
      <c r="B654" s="8"/>
      <c r="C654" s="8"/>
      <c r="D654" s="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107"/>
      <c r="AK654" s="107"/>
      <c r="AL654" s="107"/>
      <c r="AM654" s="107"/>
      <c r="AN654" s="107"/>
      <c r="AO654" s="107"/>
      <c r="AP654" s="107"/>
      <c r="AQ654" s="107"/>
      <c r="AR654" s="5"/>
      <c r="AS654" s="5"/>
    </row>
    <row r="655" spans="1:45" ht="15.75" customHeight="1" x14ac:dyDescent="0.25">
      <c r="A655" s="107"/>
      <c r="B655" s="8"/>
      <c r="C655" s="8"/>
      <c r="D655" s="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107"/>
      <c r="AK655" s="107"/>
      <c r="AL655" s="107"/>
      <c r="AM655" s="107"/>
      <c r="AN655" s="107"/>
      <c r="AO655" s="107"/>
      <c r="AP655" s="107"/>
      <c r="AQ655" s="107"/>
      <c r="AR655" s="5"/>
      <c r="AS655" s="5"/>
    </row>
    <row r="656" spans="1:45" ht="15.75" customHeight="1" x14ac:dyDescent="0.25">
      <c r="A656" s="107"/>
      <c r="B656" s="8"/>
      <c r="C656" s="8"/>
      <c r="D656" s="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107"/>
      <c r="AK656" s="107"/>
      <c r="AL656" s="107"/>
      <c r="AM656" s="107"/>
      <c r="AN656" s="107"/>
      <c r="AO656" s="107"/>
      <c r="AP656" s="107"/>
      <c r="AQ656" s="107"/>
      <c r="AR656" s="5"/>
      <c r="AS656" s="5"/>
    </row>
    <row r="657" spans="1:45" ht="15.75" customHeight="1" x14ac:dyDescent="0.25">
      <c r="A657" s="107"/>
      <c r="B657" s="8"/>
      <c r="C657" s="8"/>
      <c r="D657" s="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107"/>
      <c r="AK657" s="107"/>
      <c r="AL657" s="107"/>
      <c r="AM657" s="107"/>
      <c r="AN657" s="107"/>
      <c r="AO657" s="107"/>
      <c r="AP657" s="107"/>
      <c r="AQ657" s="107"/>
      <c r="AR657" s="5"/>
      <c r="AS657" s="5"/>
    </row>
    <row r="658" spans="1:45" ht="15.75" customHeight="1" x14ac:dyDescent="0.25">
      <c r="A658" s="107"/>
      <c r="B658" s="8"/>
      <c r="C658" s="8"/>
      <c r="D658" s="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107"/>
      <c r="AK658" s="107"/>
      <c r="AL658" s="107"/>
      <c r="AM658" s="107"/>
      <c r="AN658" s="107"/>
      <c r="AO658" s="107"/>
      <c r="AP658" s="107"/>
      <c r="AQ658" s="107"/>
      <c r="AR658" s="5"/>
      <c r="AS658" s="5"/>
    </row>
    <row r="659" spans="1:45" ht="15.75" customHeight="1" x14ac:dyDescent="0.25">
      <c r="A659" s="107"/>
      <c r="B659" s="8"/>
      <c r="C659" s="8"/>
      <c r="D659" s="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107"/>
      <c r="AK659" s="107"/>
      <c r="AL659" s="107"/>
      <c r="AM659" s="107"/>
      <c r="AN659" s="107"/>
      <c r="AO659" s="107"/>
      <c r="AP659" s="107"/>
      <c r="AQ659" s="107"/>
      <c r="AR659" s="5"/>
      <c r="AS659" s="5"/>
    </row>
    <row r="660" spans="1:45" ht="15.75" customHeight="1" x14ac:dyDescent="0.25">
      <c r="A660" s="107"/>
      <c r="B660" s="8"/>
      <c r="C660" s="8"/>
      <c r="D660" s="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107"/>
      <c r="AK660" s="107"/>
      <c r="AL660" s="107"/>
      <c r="AM660" s="107"/>
      <c r="AN660" s="107"/>
      <c r="AO660" s="107"/>
      <c r="AP660" s="107"/>
      <c r="AQ660" s="107"/>
      <c r="AR660" s="5"/>
      <c r="AS660" s="5"/>
    </row>
    <row r="661" spans="1:45" ht="15.75" customHeight="1" x14ac:dyDescent="0.25">
      <c r="A661" s="107"/>
      <c r="B661" s="8"/>
      <c r="C661" s="8"/>
      <c r="D661" s="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107"/>
      <c r="AK661" s="107"/>
      <c r="AL661" s="107"/>
      <c r="AM661" s="107"/>
      <c r="AN661" s="107"/>
      <c r="AO661" s="107"/>
      <c r="AP661" s="107"/>
      <c r="AQ661" s="107"/>
      <c r="AR661" s="5"/>
      <c r="AS661" s="5"/>
    </row>
    <row r="662" spans="1:45" ht="15.75" customHeight="1" x14ac:dyDescent="0.25">
      <c r="A662" s="107"/>
      <c r="B662" s="8"/>
      <c r="C662" s="8"/>
      <c r="D662" s="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107"/>
      <c r="AK662" s="107"/>
      <c r="AL662" s="107"/>
      <c r="AM662" s="107"/>
      <c r="AN662" s="107"/>
      <c r="AO662" s="107"/>
      <c r="AP662" s="107"/>
      <c r="AQ662" s="107"/>
      <c r="AR662" s="5"/>
      <c r="AS662" s="5"/>
    </row>
    <row r="663" spans="1:45" ht="15.75" customHeight="1" x14ac:dyDescent="0.25">
      <c r="A663" s="107"/>
      <c r="B663" s="8"/>
      <c r="C663" s="8"/>
      <c r="D663" s="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107"/>
      <c r="AK663" s="107"/>
      <c r="AL663" s="107"/>
      <c r="AM663" s="107"/>
      <c r="AN663" s="107"/>
      <c r="AO663" s="107"/>
      <c r="AP663" s="107"/>
      <c r="AQ663" s="107"/>
      <c r="AR663" s="5"/>
      <c r="AS663" s="5"/>
    </row>
    <row r="664" spans="1:45" ht="15.75" customHeight="1" x14ac:dyDescent="0.25">
      <c r="A664" s="107"/>
      <c r="B664" s="8"/>
      <c r="C664" s="8"/>
      <c r="D664" s="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107"/>
      <c r="AK664" s="107"/>
      <c r="AL664" s="107"/>
      <c r="AM664" s="107"/>
      <c r="AN664" s="107"/>
      <c r="AO664" s="107"/>
      <c r="AP664" s="107"/>
      <c r="AQ664" s="107"/>
      <c r="AR664" s="5"/>
      <c r="AS664" s="5"/>
    </row>
    <row r="665" spans="1:45" ht="15.75" customHeight="1" x14ac:dyDescent="0.25">
      <c r="A665" s="107"/>
      <c r="B665" s="8"/>
      <c r="C665" s="8"/>
      <c r="D665" s="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107"/>
      <c r="AK665" s="107"/>
      <c r="AL665" s="107"/>
      <c r="AM665" s="107"/>
      <c r="AN665" s="107"/>
      <c r="AO665" s="107"/>
      <c r="AP665" s="107"/>
      <c r="AQ665" s="107"/>
      <c r="AR665" s="5"/>
      <c r="AS665" s="5"/>
    </row>
    <row r="666" spans="1:45" ht="15.75" customHeight="1" x14ac:dyDescent="0.25">
      <c r="A666" s="107"/>
      <c r="B666" s="8"/>
      <c r="C666" s="8"/>
      <c r="D666" s="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107"/>
      <c r="AK666" s="107"/>
      <c r="AL666" s="107"/>
      <c r="AM666" s="107"/>
      <c r="AN666" s="107"/>
      <c r="AO666" s="107"/>
      <c r="AP666" s="107"/>
      <c r="AQ666" s="107"/>
      <c r="AR666" s="5"/>
      <c r="AS666" s="5"/>
    </row>
    <row r="667" spans="1:45" ht="15.75" customHeight="1" x14ac:dyDescent="0.25">
      <c r="A667" s="107"/>
      <c r="B667" s="8"/>
      <c r="C667" s="8"/>
      <c r="D667" s="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107"/>
      <c r="AK667" s="107"/>
      <c r="AL667" s="107"/>
      <c r="AM667" s="107"/>
      <c r="AN667" s="107"/>
      <c r="AO667" s="107"/>
      <c r="AP667" s="107"/>
      <c r="AQ667" s="107"/>
      <c r="AR667" s="5"/>
      <c r="AS667" s="5"/>
    </row>
    <row r="668" spans="1:45" ht="15.75" customHeight="1" x14ac:dyDescent="0.25">
      <c r="A668" s="107"/>
      <c r="B668" s="8"/>
      <c r="C668" s="8"/>
      <c r="D668" s="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107"/>
      <c r="AK668" s="107"/>
      <c r="AL668" s="107"/>
      <c r="AM668" s="107"/>
      <c r="AN668" s="107"/>
      <c r="AO668" s="107"/>
      <c r="AP668" s="107"/>
      <c r="AQ668" s="107"/>
      <c r="AR668" s="5"/>
      <c r="AS668" s="5"/>
    </row>
    <row r="669" spans="1:45" ht="15.75" customHeight="1" x14ac:dyDescent="0.25">
      <c r="A669" s="107"/>
      <c r="B669" s="8"/>
      <c r="C669" s="8"/>
      <c r="D669" s="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107"/>
      <c r="AK669" s="107"/>
      <c r="AL669" s="107"/>
      <c r="AM669" s="107"/>
      <c r="AN669" s="107"/>
      <c r="AO669" s="107"/>
      <c r="AP669" s="107"/>
      <c r="AQ669" s="107"/>
      <c r="AR669" s="5"/>
      <c r="AS669" s="5"/>
    </row>
    <row r="670" spans="1:45" ht="15.75" customHeight="1" x14ac:dyDescent="0.25">
      <c r="A670" s="107"/>
      <c r="B670" s="8"/>
      <c r="C670" s="8"/>
      <c r="D670" s="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107"/>
      <c r="AK670" s="107"/>
      <c r="AL670" s="107"/>
      <c r="AM670" s="107"/>
      <c r="AN670" s="107"/>
      <c r="AO670" s="107"/>
      <c r="AP670" s="107"/>
      <c r="AQ670" s="107"/>
      <c r="AR670" s="5"/>
      <c r="AS670" s="5"/>
    </row>
    <row r="671" spans="1:45" ht="15.75" customHeight="1" x14ac:dyDescent="0.25">
      <c r="A671" s="107"/>
      <c r="B671" s="8"/>
      <c r="C671" s="8"/>
      <c r="D671" s="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107"/>
      <c r="AK671" s="107"/>
      <c r="AL671" s="107"/>
      <c r="AM671" s="107"/>
      <c r="AN671" s="107"/>
      <c r="AO671" s="107"/>
      <c r="AP671" s="107"/>
      <c r="AQ671" s="107"/>
      <c r="AR671" s="5"/>
      <c r="AS671" s="5"/>
    </row>
    <row r="672" spans="1:45" ht="15.75" customHeight="1" x14ac:dyDescent="0.25">
      <c r="A672" s="107"/>
      <c r="B672" s="8"/>
      <c r="C672" s="8"/>
      <c r="D672" s="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107"/>
      <c r="AK672" s="107"/>
      <c r="AL672" s="107"/>
      <c r="AM672" s="107"/>
      <c r="AN672" s="107"/>
      <c r="AO672" s="107"/>
      <c r="AP672" s="107"/>
      <c r="AQ672" s="107"/>
      <c r="AR672" s="5"/>
      <c r="AS672" s="5"/>
    </row>
    <row r="673" spans="1:45" ht="15.75" customHeight="1" x14ac:dyDescent="0.25">
      <c r="A673" s="107"/>
      <c r="B673" s="8"/>
      <c r="C673" s="8"/>
      <c r="D673" s="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107"/>
      <c r="AK673" s="107"/>
      <c r="AL673" s="107"/>
      <c r="AM673" s="107"/>
      <c r="AN673" s="107"/>
      <c r="AO673" s="107"/>
      <c r="AP673" s="107"/>
      <c r="AQ673" s="107"/>
      <c r="AR673" s="5"/>
      <c r="AS673" s="5"/>
    </row>
    <row r="674" spans="1:45" ht="15.75" customHeight="1" x14ac:dyDescent="0.25">
      <c r="A674" s="107"/>
      <c r="B674" s="8"/>
      <c r="C674" s="8"/>
      <c r="D674" s="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107"/>
      <c r="AK674" s="107"/>
      <c r="AL674" s="107"/>
      <c r="AM674" s="107"/>
      <c r="AN674" s="107"/>
      <c r="AO674" s="107"/>
      <c r="AP674" s="107"/>
      <c r="AQ674" s="107"/>
      <c r="AR674" s="5"/>
      <c r="AS674" s="5"/>
    </row>
    <row r="675" spans="1:45" ht="15.75" customHeight="1" x14ac:dyDescent="0.25">
      <c r="A675" s="107"/>
      <c r="B675" s="8"/>
      <c r="C675" s="8"/>
      <c r="D675" s="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107"/>
      <c r="AK675" s="107"/>
      <c r="AL675" s="107"/>
      <c r="AM675" s="107"/>
      <c r="AN675" s="107"/>
      <c r="AO675" s="107"/>
      <c r="AP675" s="107"/>
      <c r="AQ675" s="107"/>
      <c r="AR675" s="5"/>
      <c r="AS675" s="5"/>
    </row>
    <row r="676" spans="1:45" ht="15.75" customHeight="1" x14ac:dyDescent="0.25">
      <c r="A676" s="107"/>
      <c r="B676" s="8"/>
      <c r="C676" s="8"/>
      <c r="D676" s="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107"/>
      <c r="AK676" s="107"/>
      <c r="AL676" s="107"/>
      <c r="AM676" s="107"/>
      <c r="AN676" s="107"/>
      <c r="AO676" s="107"/>
      <c r="AP676" s="107"/>
      <c r="AQ676" s="107"/>
      <c r="AR676" s="5"/>
      <c r="AS676" s="5"/>
    </row>
    <row r="677" spans="1:45" ht="15.75" customHeight="1" x14ac:dyDescent="0.25">
      <c r="A677" s="107"/>
      <c r="B677" s="8"/>
      <c r="C677" s="8"/>
      <c r="D677" s="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107"/>
      <c r="AK677" s="107"/>
      <c r="AL677" s="107"/>
      <c r="AM677" s="107"/>
      <c r="AN677" s="107"/>
      <c r="AO677" s="107"/>
      <c r="AP677" s="107"/>
      <c r="AQ677" s="107"/>
      <c r="AR677" s="5"/>
      <c r="AS677" s="5"/>
    </row>
    <row r="678" spans="1:45" ht="15.75" customHeight="1" x14ac:dyDescent="0.25">
      <c r="A678" s="107"/>
      <c r="B678" s="8"/>
      <c r="C678" s="8"/>
      <c r="D678" s="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107"/>
      <c r="AK678" s="107"/>
      <c r="AL678" s="107"/>
      <c r="AM678" s="107"/>
      <c r="AN678" s="107"/>
      <c r="AO678" s="107"/>
      <c r="AP678" s="107"/>
      <c r="AQ678" s="107"/>
      <c r="AR678" s="5"/>
      <c r="AS678" s="5"/>
    </row>
    <row r="679" spans="1:45" ht="15.75" customHeight="1" x14ac:dyDescent="0.25">
      <c r="A679" s="107"/>
      <c r="B679" s="8"/>
      <c r="C679" s="8"/>
      <c r="D679" s="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107"/>
      <c r="AK679" s="107"/>
      <c r="AL679" s="107"/>
      <c r="AM679" s="107"/>
      <c r="AN679" s="107"/>
      <c r="AO679" s="107"/>
      <c r="AP679" s="107"/>
      <c r="AQ679" s="107"/>
      <c r="AR679" s="5"/>
      <c r="AS679" s="5"/>
    </row>
    <row r="680" spans="1:45" ht="15.75" customHeight="1" x14ac:dyDescent="0.25">
      <c r="A680" s="107"/>
      <c r="B680" s="8"/>
      <c r="C680" s="8"/>
      <c r="D680" s="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107"/>
      <c r="AK680" s="107"/>
      <c r="AL680" s="107"/>
      <c r="AM680" s="107"/>
      <c r="AN680" s="107"/>
      <c r="AO680" s="107"/>
      <c r="AP680" s="107"/>
      <c r="AQ680" s="107"/>
      <c r="AR680" s="5"/>
      <c r="AS680" s="5"/>
    </row>
    <row r="681" spans="1:45" ht="15.75" customHeight="1" x14ac:dyDescent="0.25">
      <c r="A681" s="107"/>
      <c r="B681" s="8"/>
      <c r="C681" s="8"/>
      <c r="D681" s="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107"/>
      <c r="AK681" s="107"/>
      <c r="AL681" s="107"/>
      <c r="AM681" s="107"/>
      <c r="AN681" s="107"/>
      <c r="AO681" s="107"/>
      <c r="AP681" s="107"/>
      <c r="AQ681" s="107"/>
      <c r="AR681" s="5"/>
      <c r="AS681" s="5"/>
    </row>
    <row r="682" spans="1:45" ht="15.75" customHeight="1" x14ac:dyDescent="0.25">
      <c r="A682" s="107"/>
      <c r="B682" s="8"/>
      <c r="C682" s="8"/>
      <c r="D682" s="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107"/>
      <c r="AK682" s="107"/>
      <c r="AL682" s="107"/>
      <c r="AM682" s="107"/>
      <c r="AN682" s="107"/>
      <c r="AO682" s="107"/>
      <c r="AP682" s="107"/>
      <c r="AQ682" s="107"/>
      <c r="AR682" s="5"/>
      <c r="AS682" s="5"/>
    </row>
    <row r="683" spans="1:45" ht="15.75" customHeight="1" x14ac:dyDescent="0.25">
      <c r="A683" s="107"/>
      <c r="B683" s="8"/>
      <c r="C683" s="8"/>
      <c r="D683" s="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107"/>
      <c r="AK683" s="107"/>
      <c r="AL683" s="107"/>
      <c r="AM683" s="107"/>
      <c r="AN683" s="107"/>
      <c r="AO683" s="107"/>
      <c r="AP683" s="107"/>
      <c r="AQ683" s="107"/>
      <c r="AR683" s="5"/>
      <c r="AS683" s="5"/>
    </row>
    <row r="684" spans="1:45" ht="15.75" customHeight="1" x14ac:dyDescent="0.25">
      <c r="A684" s="107"/>
      <c r="B684" s="8"/>
      <c r="C684" s="8"/>
      <c r="D684" s="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107"/>
      <c r="AK684" s="107"/>
      <c r="AL684" s="107"/>
      <c r="AM684" s="107"/>
      <c r="AN684" s="107"/>
      <c r="AO684" s="107"/>
      <c r="AP684" s="107"/>
      <c r="AQ684" s="107"/>
      <c r="AR684" s="5"/>
      <c r="AS684" s="5"/>
    </row>
    <row r="685" spans="1:45" ht="15.75" customHeight="1" x14ac:dyDescent="0.25">
      <c r="A685" s="107"/>
      <c r="B685" s="8"/>
      <c r="C685" s="8"/>
      <c r="D685" s="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107"/>
      <c r="AK685" s="107"/>
      <c r="AL685" s="107"/>
      <c r="AM685" s="107"/>
      <c r="AN685" s="107"/>
      <c r="AO685" s="107"/>
      <c r="AP685" s="107"/>
      <c r="AQ685" s="107"/>
      <c r="AR685" s="5"/>
      <c r="AS685" s="5"/>
    </row>
    <row r="686" spans="1:45" ht="15.75" customHeight="1" x14ac:dyDescent="0.25">
      <c r="A686" s="107"/>
      <c r="B686" s="8"/>
      <c r="C686" s="8"/>
      <c r="D686" s="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107"/>
      <c r="AK686" s="107"/>
      <c r="AL686" s="107"/>
      <c r="AM686" s="107"/>
      <c r="AN686" s="107"/>
      <c r="AO686" s="107"/>
      <c r="AP686" s="107"/>
      <c r="AQ686" s="107"/>
      <c r="AR686" s="5"/>
      <c r="AS686" s="5"/>
    </row>
    <row r="687" spans="1:45" ht="15.75" customHeight="1" x14ac:dyDescent="0.25">
      <c r="A687" s="107"/>
      <c r="B687" s="8"/>
      <c r="C687" s="8"/>
      <c r="D687" s="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107"/>
      <c r="AK687" s="107"/>
      <c r="AL687" s="107"/>
      <c r="AM687" s="107"/>
      <c r="AN687" s="107"/>
      <c r="AO687" s="107"/>
      <c r="AP687" s="107"/>
      <c r="AQ687" s="107"/>
      <c r="AR687" s="5"/>
      <c r="AS687" s="5"/>
    </row>
    <row r="688" spans="1:45" ht="15.75" customHeight="1" x14ac:dyDescent="0.25">
      <c r="A688" s="107"/>
      <c r="B688" s="8"/>
      <c r="C688" s="8"/>
      <c r="D688" s="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107"/>
      <c r="AK688" s="107"/>
      <c r="AL688" s="107"/>
      <c r="AM688" s="107"/>
      <c r="AN688" s="107"/>
      <c r="AO688" s="107"/>
      <c r="AP688" s="107"/>
      <c r="AQ688" s="107"/>
      <c r="AR688" s="5"/>
      <c r="AS688" s="5"/>
    </row>
    <row r="689" spans="1:45" ht="15.75" customHeight="1" x14ac:dyDescent="0.25">
      <c r="A689" s="107"/>
      <c r="B689" s="8"/>
      <c r="C689" s="8"/>
      <c r="D689" s="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107"/>
      <c r="AK689" s="107"/>
      <c r="AL689" s="107"/>
      <c r="AM689" s="107"/>
      <c r="AN689" s="107"/>
      <c r="AO689" s="107"/>
      <c r="AP689" s="107"/>
      <c r="AQ689" s="107"/>
      <c r="AR689" s="5"/>
      <c r="AS689" s="5"/>
    </row>
    <row r="690" spans="1:45" ht="15.75" customHeight="1" x14ac:dyDescent="0.25">
      <c r="A690" s="107"/>
      <c r="B690" s="8"/>
      <c r="C690" s="8"/>
      <c r="D690" s="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107"/>
      <c r="AK690" s="107"/>
      <c r="AL690" s="107"/>
      <c r="AM690" s="107"/>
      <c r="AN690" s="107"/>
      <c r="AO690" s="107"/>
      <c r="AP690" s="107"/>
      <c r="AQ690" s="107"/>
      <c r="AR690" s="5"/>
      <c r="AS690" s="5"/>
    </row>
    <row r="691" spans="1:45" ht="15.75" customHeight="1" x14ac:dyDescent="0.25">
      <c r="A691" s="107"/>
      <c r="B691" s="8"/>
      <c r="C691" s="8"/>
      <c r="D691" s="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107"/>
      <c r="AK691" s="107"/>
      <c r="AL691" s="107"/>
      <c r="AM691" s="107"/>
      <c r="AN691" s="107"/>
      <c r="AO691" s="107"/>
      <c r="AP691" s="107"/>
      <c r="AQ691" s="107"/>
      <c r="AR691" s="5"/>
      <c r="AS691" s="5"/>
    </row>
    <row r="692" spans="1:45" ht="15.75" customHeight="1" x14ac:dyDescent="0.25">
      <c r="A692" s="107"/>
      <c r="B692" s="8"/>
      <c r="C692" s="8"/>
      <c r="D692" s="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107"/>
      <c r="AK692" s="107"/>
      <c r="AL692" s="107"/>
      <c r="AM692" s="107"/>
      <c r="AN692" s="107"/>
      <c r="AO692" s="107"/>
      <c r="AP692" s="107"/>
      <c r="AQ692" s="107"/>
      <c r="AR692" s="5"/>
      <c r="AS692" s="5"/>
    </row>
    <row r="693" spans="1:45" ht="15.75" customHeight="1" x14ac:dyDescent="0.25">
      <c r="A693" s="107"/>
      <c r="B693" s="8"/>
      <c r="C693" s="8"/>
      <c r="D693" s="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107"/>
      <c r="AK693" s="107"/>
      <c r="AL693" s="107"/>
      <c r="AM693" s="107"/>
      <c r="AN693" s="107"/>
      <c r="AO693" s="107"/>
      <c r="AP693" s="107"/>
      <c r="AQ693" s="107"/>
      <c r="AR693" s="5"/>
      <c r="AS693" s="5"/>
    </row>
    <row r="694" spans="1:45" ht="15.75" customHeight="1" x14ac:dyDescent="0.25">
      <c r="A694" s="107"/>
      <c r="B694" s="8"/>
      <c r="C694" s="8"/>
      <c r="D694" s="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107"/>
      <c r="AK694" s="107"/>
      <c r="AL694" s="107"/>
      <c r="AM694" s="107"/>
      <c r="AN694" s="107"/>
      <c r="AO694" s="107"/>
      <c r="AP694" s="107"/>
      <c r="AQ694" s="107"/>
      <c r="AR694" s="5"/>
      <c r="AS694" s="5"/>
    </row>
    <row r="695" spans="1:45" ht="15.75" customHeight="1" x14ac:dyDescent="0.25">
      <c r="A695" s="107"/>
      <c r="B695" s="8"/>
      <c r="C695" s="8"/>
      <c r="D695" s="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107"/>
      <c r="AK695" s="107"/>
      <c r="AL695" s="107"/>
      <c r="AM695" s="107"/>
      <c r="AN695" s="107"/>
      <c r="AO695" s="107"/>
      <c r="AP695" s="107"/>
      <c r="AQ695" s="107"/>
      <c r="AR695" s="5"/>
      <c r="AS695" s="5"/>
    </row>
    <row r="696" spans="1:45" ht="15.75" customHeight="1" x14ac:dyDescent="0.25">
      <c r="A696" s="107"/>
      <c r="B696" s="8"/>
      <c r="C696" s="8"/>
      <c r="D696" s="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107"/>
      <c r="AK696" s="107"/>
      <c r="AL696" s="107"/>
      <c r="AM696" s="107"/>
      <c r="AN696" s="107"/>
      <c r="AO696" s="107"/>
      <c r="AP696" s="107"/>
      <c r="AQ696" s="107"/>
      <c r="AR696" s="5"/>
      <c r="AS696" s="5"/>
    </row>
    <row r="697" spans="1:45" ht="15.75" customHeight="1" x14ac:dyDescent="0.25">
      <c r="A697" s="107"/>
      <c r="B697" s="8"/>
      <c r="C697" s="8"/>
      <c r="D697" s="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107"/>
      <c r="AK697" s="107"/>
      <c r="AL697" s="107"/>
      <c r="AM697" s="107"/>
      <c r="AN697" s="107"/>
      <c r="AO697" s="107"/>
      <c r="AP697" s="107"/>
      <c r="AQ697" s="107"/>
      <c r="AR697" s="5"/>
      <c r="AS697" s="5"/>
    </row>
    <row r="698" spans="1:45" ht="15.75" customHeight="1" x14ac:dyDescent="0.25">
      <c r="A698" s="107"/>
      <c r="B698" s="8"/>
      <c r="C698" s="8"/>
      <c r="D698" s="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107"/>
      <c r="AK698" s="107"/>
      <c r="AL698" s="107"/>
      <c r="AM698" s="107"/>
      <c r="AN698" s="107"/>
      <c r="AO698" s="107"/>
      <c r="AP698" s="107"/>
      <c r="AQ698" s="107"/>
      <c r="AR698" s="5"/>
      <c r="AS698" s="5"/>
    </row>
    <row r="699" spans="1:45" ht="15.75" customHeight="1" x14ac:dyDescent="0.25">
      <c r="A699" s="107"/>
      <c r="B699" s="8"/>
      <c r="C699" s="8"/>
      <c r="D699" s="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107"/>
      <c r="AK699" s="107"/>
      <c r="AL699" s="107"/>
      <c r="AM699" s="107"/>
      <c r="AN699" s="107"/>
      <c r="AO699" s="107"/>
      <c r="AP699" s="107"/>
      <c r="AQ699" s="107"/>
      <c r="AR699" s="5"/>
      <c r="AS699" s="5"/>
    </row>
    <row r="700" spans="1:45" ht="15.75" customHeight="1" x14ac:dyDescent="0.25">
      <c r="A700" s="107"/>
      <c r="B700" s="8"/>
      <c r="C700" s="8"/>
      <c r="D700" s="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107"/>
      <c r="AK700" s="107"/>
      <c r="AL700" s="107"/>
      <c r="AM700" s="107"/>
      <c r="AN700" s="107"/>
      <c r="AO700" s="107"/>
      <c r="AP700" s="107"/>
      <c r="AQ700" s="107"/>
      <c r="AR700" s="5"/>
      <c r="AS700" s="5"/>
    </row>
    <row r="701" spans="1:45" ht="15.75" customHeight="1" x14ac:dyDescent="0.25">
      <c r="A701" s="107"/>
      <c r="B701" s="8"/>
      <c r="C701" s="8"/>
      <c r="D701" s="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107"/>
      <c r="AK701" s="107"/>
      <c r="AL701" s="107"/>
      <c r="AM701" s="107"/>
      <c r="AN701" s="107"/>
      <c r="AO701" s="107"/>
      <c r="AP701" s="107"/>
      <c r="AQ701" s="107"/>
      <c r="AR701" s="5"/>
      <c r="AS701" s="5"/>
    </row>
    <row r="702" spans="1:45" ht="15.75" customHeight="1" x14ac:dyDescent="0.25">
      <c r="A702" s="107"/>
      <c r="B702" s="8"/>
      <c r="C702" s="8"/>
      <c r="D702" s="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107"/>
      <c r="AK702" s="107"/>
      <c r="AL702" s="107"/>
      <c r="AM702" s="107"/>
      <c r="AN702" s="107"/>
      <c r="AO702" s="107"/>
      <c r="AP702" s="107"/>
      <c r="AQ702" s="107"/>
      <c r="AR702" s="5"/>
      <c r="AS702" s="5"/>
    </row>
    <row r="703" spans="1:45" ht="15.75" customHeight="1" x14ac:dyDescent="0.25">
      <c r="A703" s="107"/>
      <c r="B703" s="8"/>
      <c r="C703" s="8"/>
      <c r="D703" s="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107"/>
      <c r="AK703" s="107"/>
      <c r="AL703" s="107"/>
      <c r="AM703" s="107"/>
      <c r="AN703" s="107"/>
      <c r="AO703" s="107"/>
      <c r="AP703" s="107"/>
      <c r="AQ703" s="107"/>
      <c r="AR703" s="5"/>
      <c r="AS703" s="5"/>
    </row>
    <row r="704" spans="1:45" ht="15.75" customHeight="1" x14ac:dyDescent="0.25">
      <c r="A704" s="107"/>
      <c r="B704" s="8"/>
      <c r="C704" s="8"/>
      <c r="D704" s="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107"/>
      <c r="AK704" s="107"/>
      <c r="AL704" s="107"/>
      <c r="AM704" s="107"/>
      <c r="AN704" s="107"/>
      <c r="AO704" s="107"/>
      <c r="AP704" s="107"/>
      <c r="AQ704" s="107"/>
      <c r="AR704" s="5"/>
      <c r="AS704" s="5"/>
    </row>
    <row r="705" spans="1:45" ht="15.75" customHeight="1" x14ac:dyDescent="0.25">
      <c r="A705" s="107"/>
      <c r="B705" s="8"/>
      <c r="C705" s="8"/>
      <c r="D705" s="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107"/>
      <c r="AK705" s="107"/>
      <c r="AL705" s="107"/>
      <c r="AM705" s="107"/>
      <c r="AN705" s="107"/>
      <c r="AO705" s="107"/>
      <c r="AP705" s="107"/>
      <c r="AQ705" s="107"/>
      <c r="AR705" s="5"/>
      <c r="AS705" s="5"/>
    </row>
    <row r="706" spans="1:45" ht="15.75" customHeight="1" x14ac:dyDescent="0.25">
      <c r="A706" s="107"/>
      <c r="B706" s="8"/>
      <c r="C706" s="8"/>
      <c r="D706" s="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107"/>
      <c r="AK706" s="107"/>
      <c r="AL706" s="107"/>
      <c r="AM706" s="107"/>
      <c r="AN706" s="107"/>
      <c r="AO706" s="107"/>
      <c r="AP706" s="107"/>
      <c r="AQ706" s="107"/>
      <c r="AR706" s="5"/>
      <c r="AS706" s="5"/>
    </row>
    <row r="707" spans="1:45" ht="15.75" customHeight="1" x14ac:dyDescent="0.25">
      <c r="A707" s="107"/>
      <c r="B707" s="8"/>
      <c r="C707" s="8"/>
      <c r="D707" s="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107"/>
      <c r="AK707" s="107"/>
      <c r="AL707" s="107"/>
      <c r="AM707" s="107"/>
      <c r="AN707" s="107"/>
      <c r="AO707" s="107"/>
      <c r="AP707" s="107"/>
      <c r="AQ707" s="107"/>
      <c r="AR707" s="5"/>
      <c r="AS707" s="5"/>
    </row>
    <row r="708" spans="1:45" ht="15.75" customHeight="1" x14ac:dyDescent="0.25">
      <c r="A708" s="107"/>
      <c r="B708" s="8"/>
      <c r="C708" s="8"/>
      <c r="D708" s="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107"/>
      <c r="AK708" s="107"/>
      <c r="AL708" s="107"/>
      <c r="AM708" s="107"/>
      <c r="AN708" s="107"/>
      <c r="AO708" s="107"/>
      <c r="AP708" s="107"/>
      <c r="AQ708" s="107"/>
      <c r="AR708" s="5"/>
      <c r="AS708" s="5"/>
    </row>
    <row r="709" spans="1:45" ht="15.75" customHeight="1" x14ac:dyDescent="0.25">
      <c r="A709" s="107"/>
      <c r="B709" s="8"/>
      <c r="C709" s="8"/>
      <c r="D709" s="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107"/>
      <c r="AK709" s="107"/>
      <c r="AL709" s="107"/>
      <c r="AM709" s="107"/>
      <c r="AN709" s="107"/>
      <c r="AO709" s="107"/>
      <c r="AP709" s="107"/>
      <c r="AQ709" s="107"/>
      <c r="AR709" s="5"/>
      <c r="AS709" s="5"/>
    </row>
    <row r="710" spans="1:45" ht="15.75" customHeight="1" x14ac:dyDescent="0.25">
      <c r="A710" s="107"/>
      <c r="B710" s="8"/>
      <c r="C710" s="8"/>
      <c r="D710" s="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107"/>
      <c r="AK710" s="107"/>
      <c r="AL710" s="107"/>
      <c r="AM710" s="107"/>
      <c r="AN710" s="107"/>
      <c r="AO710" s="107"/>
      <c r="AP710" s="107"/>
      <c r="AQ710" s="107"/>
      <c r="AR710" s="5"/>
      <c r="AS710" s="5"/>
    </row>
    <row r="711" spans="1:45" ht="15.75" customHeight="1" x14ac:dyDescent="0.25">
      <c r="A711" s="107"/>
      <c r="B711" s="8"/>
      <c r="C711" s="8"/>
      <c r="D711" s="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107"/>
      <c r="AK711" s="107"/>
      <c r="AL711" s="107"/>
      <c r="AM711" s="107"/>
      <c r="AN711" s="107"/>
      <c r="AO711" s="107"/>
      <c r="AP711" s="107"/>
      <c r="AQ711" s="107"/>
      <c r="AR711" s="5"/>
      <c r="AS711" s="5"/>
    </row>
    <row r="712" spans="1:45" ht="15.75" customHeight="1" x14ac:dyDescent="0.25">
      <c r="A712" s="107"/>
      <c r="B712" s="8"/>
      <c r="C712" s="8"/>
      <c r="D712" s="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107"/>
      <c r="AK712" s="107"/>
      <c r="AL712" s="107"/>
      <c r="AM712" s="107"/>
      <c r="AN712" s="107"/>
      <c r="AO712" s="107"/>
      <c r="AP712" s="107"/>
      <c r="AQ712" s="107"/>
      <c r="AR712" s="5"/>
      <c r="AS712" s="5"/>
    </row>
    <row r="713" spans="1:45" ht="15.75" customHeight="1" x14ac:dyDescent="0.25">
      <c r="A713" s="107"/>
      <c r="B713" s="8"/>
      <c r="C713" s="8"/>
      <c r="D713" s="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107"/>
      <c r="AK713" s="107"/>
      <c r="AL713" s="107"/>
      <c r="AM713" s="107"/>
      <c r="AN713" s="107"/>
      <c r="AO713" s="107"/>
      <c r="AP713" s="107"/>
      <c r="AQ713" s="107"/>
      <c r="AR713" s="5"/>
      <c r="AS713" s="5"/>
    </row>
    <row r="714" spans="1:45" ht="15.75" customHeight="1" x14ac:dyDescent="0.25">
      <c r="A714" s="107"/>
      <c r="B714" s="8"/>
      <c r="C714" s="8"/>
      <c r="D714" s="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107"/>
      <c r="AK714" s="107"/>
      <c r="AL714" s="107"/>
      <c r="AM714" s="107"/>
      <c r="AN714" s="107"/>
      <c r="AO714" s="107"/>
      <c r="AP714" s="107"/>
      <c r="AQ714" s="107"/>
      <c r="AR714" s="5"/>
      <c r="AS714" s="5"/>
    </row>
    <row r="715" spans="1:45" ht="15.75" customHeight="1" x14ac:dyDescent="0.25">
      <c r="A715" s="107"/>
      <c r="B715" s="8"/>
      <c r="C715" s="8"/>
      <c r="D715" s="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107"/>
      <c r="AK715" s="107"/>
      <c r="AL715" s="107"/>
      <c r="AM715" s="107"/>
      <c r="AN715" s="107"/>
      <c r="AO715" s="107"/>
      <c r="AP715" s="107"/>
      <c r="AQ715" s="107"/>
      <c r="AR715" s="5"/>
      <c r="AS715" s="5"/>
    </row>
    <row r="716" spans="1:45" ht="15.75" customHeight="1" x14ac:dyDescent="0.25">
      <c r="A716" s="107"/>
      <c r="B716" s="8"/>
      <c r="C716" s="8"/>
      <c r="D716" s="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107"/>
      <c r="AK716" s="107"/>
      <c r="AL716" s="107"/>
      <c r="AM716" s="107"/>
      <c r="AN716" s="107"/>
      <c r="AO716" s="107"/>
      <c r="AP716" s="107"/>
      <c r="AQ716" s="107"/>
      <c r="AR716" s="5"/>
      <c r="AS716" s="5"/>
    </row>
    <row r="717" spans="1:45" ht="15.75" customHeight="1" x14ac:dyDescent="0.25">
      <c r="A717" s="107"/>
      <c r="B717" s="8"/>
      <c r="C717" s="8"/>
      <c r="D717" s="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107"/>
      <c r="AK717" s="107"/>
      <c r="AL717" s="107"/>
      <c r="AM717" s="107"/>
      <c r="AN717" s="107"/>
      <c r="AO717" s="107"/>
      <c r="AP717" s="107"/>
      <c r="AQ717" s="107"/>
      <c r="AR717" s="5"/>
      <c r="AS717" s="5"/>
    </row>
    <row r="718" spans="1:45" ht="15.75" customHeight="1" x14ac:dyDescent="0.25">
      <c r="A718" s="107"/>
      <c r="B718" s="8"/>
      <c r="C718" s="8"/>
      <c r="D718" s="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107"/>
      <c r="AK718" s="107"/>
      <c r="AL718" s="107"/>
      <c r="AM718" s="107"/>
      <c r="AN718" s="107"/>
      <c r="AO718" s="107"/>
      <c r="AP718" s="107"/>
      <c r="AQ718" s="107"/>
      <c r="AR718" s="5"/>
      <c r="AS718" s="5"/>
    </row>
    <row r="719" spans="1:45" ht="15.75" customHeight="1" x14ac:dyDescent="0.25">
      <c r="A719" s="107"/>
      <c r="B719" s="8"/>
      <c r="C719" s="8"/>
      <c r="D719" s="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107"/>
      <c r="AK719" s="107"/>
      <c r="AL719" s="107"/>
      <c r="AM719" s="107"/>
      <c r="AN719" s="107"/>
      <c r="AO719" s="107"/>
      <c r="AP719" s="107"/>
      <c r="AQ719" s="107"/>
      <c r="AR719" s="5"/>
      <c r="AS719" s="5"/>
    </row>
    <row r="720" spans="1:45" ht="15.75" customHeight="1" x14ac:dyDescent="0.25">
      <c r="A720" s="107"/>
      <c r="B720" s="8"/>
      <c r="C720" s="8"/>
      <c r="D720" s="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107"/>
      <c r="AK720" s="107"/>
      <c r="AL720" s="107"/>
      <c r="AM720" s="107"/>
      <c r="AN720" s="107"/>
      <c r="AO720" s="107"/>
      <c r="AP720" s="107"/>
      <c r="AQ720" s="107"/>
      <c r="AR720" s="5"/>
      <c r="AS720" s="5"/>
    </row>
    <row r="721" spans="1:45" ht="15.75" customHeight="1" x14ac:dyDescent="0.25">
      <c r="A721" s="107"/>
      <c r="B721" s="8"/>
      <c r="C721" s="8"/>
      <c r="D721" s="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107"/>
      <c r="AK721" s="107"/>
      <c r="AL721" s="107"/>
      <c r="AM721" s="107"/>
      <c r="AN721" s="107"/>
      <c r="AO721" s="107"/>
      <c r="AP721" s="107"/>
      <c r="AQ721" s="107"/>
      <c r="AR721" s="5"/>
      <c r="AS721" s="5"/>
    </row>
    <row r="722" spans="1:45" ht="15.75" customHeight="1" x14ac:dyDescent="0.25">
      <c r="A722" s="107"/>
      <c r="B722" s="8"/>
      <c r="C722" s="8"/>
      <c r="D722" s="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107"/>
      <c r="AK722" s="107"/>
      <c r="AL722" s="107"/>
      <c r="AM722" s="107"/>
      <c r="AN722" s="107"/>
      <c r="AO722" s="107"/>
      <c r="AP722" s="107"/>
      <c r="AQ722" s="107"/>
      <c r="AR722" s="5"/>
      <c r="AS722" s="5"/>
    </row>
    <row r="723" spans="1:45" ht="15.75" customHeight="1" x14ac:dyDescent="0.25">
      <c r="A723" s="107"/>
      <c r="B723" s="8"/>
      <c r="C723" s="8"/>
      <c r="D723" s="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107"/>
      <c r="AK723" s="107"/>
      <c r="AL723" s="107"/>
      <c r="AM723" s="107"/>
      <c r="AN723" s="107"/>
      <c r="AO723" s="107"/>
      <c r="AP723" s="107"/>
      <c r="AQ723" s="107"/>
      <c r="AR723" s="5"/>
      <c r="AS723" s="5"/>
    </row>
    <row r="724" spans="1:45" ht="15.75" customHeight="1" x14ac:dyDescent="0.25">
      <c r="A724" s="107"/>
      <c r="B724" s="8"/>
      <c r="C724" s="8"/>
      <c r="D724" s="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107"/>
      <c r="AK724" s="107"/>
      <c r="AL724" s="107"/>
      <c r="AM724" s="107"/>
      <c r="AN724" s="107"/>
      <c r="AO724" s="107"/>
      <c r="AP724" s="107"/>
      <c r="AQ724" s="107"/>
      <c r="AR724" s="5"/>
      <c r="AS724" s="5"/>
    </row>
    <row r="725" spans="1:45" ht="15.75" customHeight="1" x14ac:dyDescent="0.25">
      <c r="A725" s="107"/>
      <c r="B725" s="8"/>
      <c r="C725" s="8"/>
      <c r="D725" s="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107"/>
      <c r="AK725" s="107"/>
      <c r="AL725" s="107"/>
      <c r="AM725" s="107"/>
      <c r="AN725" s="107"/>
      <c r="AO725" s="107"/>
      <c r="AP725" s="107"/>
      <c r="AQ725" s="107"/>
      <c r="AR725" s="5"/>
      <c r="AS725" s="5"/>
    </row>
    <row r="726" spans="1:45" ht="15.75" customHeight="1" x14ac:dyDescent="0.25">
      <c r="A726" s="107"/>
      <c r="B726" s="8"/>
      <c r="C726" s="8"/>
      <c r="D726" s="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107"/>
      <c r="AK726" s="107"/>
      <c r="AL726" s="107"/>
      <c r="AM726" s="107"/>
      <c r="AN726" s="107"/>
      <c r="AO726" s="107"/>
      <c r="AP726" s="107"/>
      <c r="AQ726" s="107"/>
      <c r="AR726" s="5"/>
      <c r="AS726" s="5"/>
    </row>
    <row r="727" spans="1:45" ht="15.75" customHeight="1" x14ac:dyDescent="0.25">
      <c r="A727" s="107"/>
      <c r="B727" s="8"/>
      <c r="C727" s="8"/>
      <c r="D727" s="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107"/>
      <c r="AK727" s="107"/>
      <c r="AL727" s="107"/>
      <c r="AM727" s="107"/>
      <c r="AN727" s="107"/>
      <c r="AO727" s="107"/>
      <c r="AP727" s="107"/>
      <c r="AQ727" s="107"/>
      <c r="AR727" s="5"/>
      <c r="AS727" s="5"/>
    </row>
    <row r="728" spans="1:45" ht="15.75" customHeight="1" x14ac:dyDescent="0.25">
      <c r="A728" s="107"/>
      <c r="B728" s="8"/>
      <c r="C728" s="8"/>
      <c r="D728" s="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107"/>
      <c r="AK728" s="107"/>
      <c r="AL728" s="107"/>
      <c r="AM728" s="107"/>
      <c r="AN728" s="107"/>
      <c r="AO728" s="107"/>
      <c r="AP728" s="107"/>
      <c r="AQ728" s="107"/>
      <c r="AR728" s="5"/>
      <c r="AS728" s="5"/>
    </row>
    <row r="729" spans="1:45" ht="15.75" customHeight="1" x14ac:dyDescent="0.25">
      <c r="A729" s="107"/>
      <c r="B729" s="8"/>
      <c r="C729" s="8"/>
      <c r="D729" s="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107"/>
      <c r="AK729" s="107"/>
      <c r="AL729" s="107"/>
      <c r="AM729" s="107"/>
      <c r="AN729" s="107"/>
      <c r="AO729" s="107"/>
      <c r="AP729" s="107"/>
      <c r="AQ729" s="107"/>
      <c r="AR729" s="5"/>
      <c r="AS729" s="5"/>
    </row>
    <row r="730" spans="1:45" ht="15.75" customHeight="1" x14ac:dyDescent="0.25">
      <c r="A730" s="107"/>
      <c r="B730" s="8"/>
      <c r="C730" s="8"/>
      <c r="D730" s="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107"/>
      <c r="AK730" s="107"/>
      <c r="AL730" s="107"/>
      <c r="AM730" s="107"/>
      <c r="AN730" s="107"/>
      <c r="AO730" s="107"/>
      <c r="AP730" s="107"/>
      <c r="AQ730" s="107"/>
      <c r="AR730" s="5"/>
      <c r="AS730" s="5"/>
    </row>
    <row r="731" spans="1:45" ht="15.75" customHeight="1" x14ac:dyDescent="0.25">
      <c r="A731" s="107"/>
      <c r="B731" s="8"/>
      <c r="C731" s="8"/>
      <c r="D731" s="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107"/>
      <c r="AK731" s="107"/>
      <c r="AL731" s="107"/>
      <c r="AM731" s="107"/>
      <c r="AN731" s="107"/>
      <c r="AO731" s="107"/>
      <c r="AP731" s="107"/>
      <c r="AQ731" s="107"/>
      <c r="AR731" s="5"/>
      <c r="AS731" s="5"/>
    </row>
    <row r="732" spans="1:45" ht="15.75" customHeight="1" x14ac:dyDescent="0.25">
      <c r="A732" s="107"/>
      <c r="B732" s="8"/>
      <c r="C732" s="8"/>
      <c r="D732" s="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107"/>
      <c r="AK732" s="107"/>
      <c r="AL732" s="107"/>
      <c r="AM732" s="107"/>
      <c r="AN732" s="107"/>
      <c r="AO732" s="107"/>
      <c r="AP732" s="107"/>
      <c r="AQ732" s="107"/>
      <c r="AR732" s="5"/>
      <c r="AS732" s="5"/>
    </row>
    <row r="733" spans="1:45" ht="15.75" customHeight="1" x14ac:dyDescent="0.25">
      <c r="A733" s="107"/>
      <c r="B733" s="8"/>
      <c r="C733" s="8"/>
      <c r="D733" s="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107"/>
      <c r="AK733" s="107"/>
      <c r="AL733" s="107"/>
      <c r="AM733" s="107"/>
      <c r="AN733" s="107"/>
      <c r="AO733" s="107"/>
      <c r="AP733" s="107"/>
      <c r="AQ733" s="107"/>
      <c r="AR733" s="5"/>
      <c r="AS733" s="5"/>
    </row>
    <row r="734" spans="1:45" ht="15.75" customHeight="1" x14ac:dyDescent="0.25">
      <c r="A734" s="107"/>
      <c r="B734" s="8"/>
      <c r="C734" s="8"/>
      <c r="D734" s="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107"/>
      <c r="AK734" s="107"/>
      <c r="AL734" s="107"/>
      <c r="AM734" s="107"/>
      <c r="AN734" s="107"/>
      <c r="AO734" s="107"/>
      <c r="AP734" s="107"/>
      <c r="AQ734" s="107"/>
      <c r="AR734" s="5"/>
      <c r="AS734" s="5"/>
    </row>
    <row r="735" spans="1:45" ht="15.75" customHeight="1" x14ac:dyDescent="0.25">
      <c r="A735" s="107"/>
      <c r="B735" s="8"/>
      <c r="C735" s="8"/>
      <c r="D735" s="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107"/>
      <c r="AK735" s="107"/>
      <c r="AL735" s="107"/>
      <c r="AM735" s="107"/>
      <c r="AN735" s="107"/>
      <c r="AO735" s="107"/>
      <c r="AP735" s="107"/>
      <c r="AQ735" s="107"/>
      <c r="AR735" s="5"/>
      <c r="AS735" s="5"/>
    </row>
    <row r="736" spans="1:45" ht="15.75" customHeight="1" x14ac:dyDescent="0.25">
      <c r="A736" s="107"/>
      <c r="B736" s="8"/>
      <c r="C736" s="8"/>
      <c r="D736" s="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107"/>
      <c r="AK736" s="107"/>
      <c r="AL736" s="107"/>
      <c r="AM736" s="107"/>
      <c r="AN736" s="107"/>
      <c r="AO736" s="107"/>
      <c r="AP736" s="107"/>
      <c r="AQ736" s="107"/>
      <c r="AR736" s="5"/>
      <c r="AS736" s="5"/>
    </row>
    <row r="737" spans="1:45" ht="15.75" customHeight="1" x14ac:dyDescent="0.25">
      <c r="A737" s="107"/>
      <c r="B737" s="8"/>
      <c r="C737" s="8"/>
      <c r="D737" s="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107"/>
      <c r="AK737" s="107"/>
      <c r="AL737" s="107"/>
      <c r="AM737" s="107"/>
      <c r="AN737" s="107"/>
      <c r="AO737" s="107"/>
      <c r="AP737" s="107"/>
      <c r="AQ737" s="107"/>
      <c r="AR737" s="5"/>
      <c r="AS737" s="5"/>
    </row>
    <row r="738" spans="1:45" ht="15.75" customHeight="1" x14ac:dyDescent="0.25">
      <c r="A738" s="107"/>
      <c r="B738" s="8"/>
      <c r="C738" s="8"/>
      <c r="D738" s="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107"/>
      <c r="AK738" s="107"/>
      <c r="AL738" s="107"/>
      <c r="AM738" s="107"/>
      <c r="AN738" s="107"/>
      <c r="AO738" s="107"/>
      <c r="AP738" s="107"/>
      <c r="AQ738" s="107"/>
      <c r="AR738" s="5"/>
      <c r="AS738" s="5"/>
    </row>
    <row r="739" spans="1:45" ht="15.75" customHeight="1" x14ac:dyDescent="0.25">
      <c r="A739" s="107"/>
      <c r="B739" s="8"/>
      <c r="C739" s="8"/>
      <c r="D739" s="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107"/>
      <c r="AK739" s="107"/>
      <c r="AL739" s="107"/>
      <c r="AM739" s="107"/>
      <c r="AN739" s="107"/>
      <c r="AO739" s="107"/>
      <c r="AP739" s="107"/>
      <c r="AQ739" s="107"/>
      <c r="AR739" s="5"/>
      <c r="AS739" s="5"/>
    </row>
    <row r="740" spans="1:45" ht="15.75" customHeight="1" x14ac:dyDescent="0.25">
      <c r="A740" s="107"/>
      <c r="B740" s="8"/>
      <c r="C740" s="8"/>
      <c r="D740" s="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107"/>
      <c r="AK740" s="107"/>
      <c r="AL740" s="107"/>
      <c r="AM740" s="107"/>
      <c r="AN740" s="107"/>
      <c r="AO740" s="107"/>
      <c r="AP740" s="107"/>
      <c r="AQ740" s="107"/>
      <c r="AR740" s="5"/>
      <c r="AS740" s="5"/>
    </row>
    <row r="741" spans="1:45" ht="15.75" customHeight="1" x14ac:dyDescent="0.25">
      <c r="A741" s="107"/>
      <c r="B741" s="8"/>
      <c r="C741" s="8"/>
      <c r="D741" s="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107"/>
      <c r="AK741" s="107"/>
      <c r="AL741" s="107"/>
      <c r="AM741" s="107"/>
      <c r="AN741" s="107"/>
      <c r="AO741" s="107"/>
      <c r="AP741" s="107"/>
      <c r="AQ741" s="107"/>
      <c r="AR741" s="5"/>
      <c r="AS741" s="5"/>
    </row>
    <row r="742" spans="1:45" ht="15.75" customHeight="1" x14ac:dyDescent="0.25">
      <c r="A742" s="107"/>
      <c r="B742" s="8"/>
      <c r="C742" s="8"/>
      <c r="D742" s="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107"/>
      <c r="AK742" s="107"/>
      <c r="AL742" s="107"/>
      <c r="AM742" s="107"/>
      <c r="AN742" s="107"/>
      <c r="AO742" s="107"/>
      <c r="AP742" s="107"/>
      <c r="AQ742" s="107"/>
      <c r="AR742" s="5"/>
      <c r="AS742" s="5"/>
    </row>
    <row r="743" spans="1:45" ht="15.75" customHeight="1" x14ac:dyDescent="0.25">
      <c r="A743" s="107"/>
      <c r="B743" s="8"/>
      <c r="C743" s="8"/>
      <c r="D743" s="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107"/>
      <c r="AK743" s="107"/>
      <c r="AL743" s="107"/>
      <c r="AM743" s="107"/>
      <c r="AN743" s="107"/>
      <c r="AO743" s="107"/>
      <c r="AP743" s="107"/>
      <c r="AQ743" s="107"/>
      <c r="AR743" s="5"/>
      <c r="AS743" s="5"/>
    </row>
    <row r="744" spans="1:45" ht="15.75" customHeight="1" x14ac:dyDescent="0.25">
      <c r="A744" s="107"/>
      <c r="B744" s="8"/>
      <c r="C744" s="8"/>
      <c r="D744" s="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107"/>
      <c r="AK744" s="107"/>
      <c r="AL744" s="107"/>
      <c r="AM744" s="107"/>
      <c r="AN744" s="107"/>
      <c r="AO744" s="107"/>
      <c r="AP744" s="107"/>
      <c r="AQ744" s="107"/>
      <c r="AR744" s="5"/>
      <c r="AS744" s="5"/>
    </row>
    <row r="745" spans="1:45" ht="15.75" customHeight="1" x14ac:dyDescent="0.25">
      <c r="A745" s="107"/>
      <c r="B745" s="8"/>
      <c r="C745" s="8"/>
      <c r="D745" s="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107"/>
      <c r="AK745" s="107"/>
      <c r="AL745" s="107"/>
      <c r="AM745" s="107"/>
      <c r="AN745" s="107"/>
      <c r="AO745" s="107"/>
      <c r="AP745" s="107"/>
      <c r="AQ745" s="107"/>
      <c r="AR745" s="5"/>
      <c r="AS745" s="5"/>
    </row>
    <row r="746" spans="1:45" ht="15.75" customHeight="1" x14ac:dyDescent="0.25">
      <c r="A746" s="107"/>
      <c r="B746" s="8"/>
      <c r="C746" s="8"/>
      <c r="D746" s="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107"/>
      <c r="AK746" s="107"/>
      <c r="AL746" s="107"/>
      <c r="AM746" s="107"/>
      <c r="AN746" s="107"/>
      <c r="AO746" s="107"/>
      <c r="AP746" s="107"/>
      <c r="AQ746" s="107"/>
      <c r="AR746" s="5"/>
      <c r="AS746" s="5"/>
    </row>
    <row r="747" spans="1:45" ht="15.75" customHeight="1" x14ac:dyDescent="0.25">
      <c r="A747" s="107"/>
      <c r="B747" s="8"/>
      <c r="C747" s="8"/>
      <c r="D747" s="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107"/>
      <c r="AK747" s="107"/>
      <c r="AL747" s="107"/>
      <c r="AM747" s="107"/>
      <c r="AN747" s="107"/>
      <c r="AO747" s="107"/>
      <c r="AP747" s="107"/>
      <c r="AQ747" s="107"/>
      <c r="AR747" s="5"/>
      <c r="AS747" s="5"/>
    </row>
    <row r="748" spans="1:45" ht="15.75" customHeight="1" x14ac:dyDescent="0.25">
      <c r="A748" s="107"/>
      <c r="B748" s="8"/>
      <c r="C748" s="8"/>
      <c r="D748" s="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107"/>
      <c r="AK748" s="107"/>
      <c r="AL748" s="107"/>
      <c r="AM748" s="107"/>
      <c r="AN748" s="107"/>
      <c r="AO748" s="107"/>
      <c r="AP748" s="107"/>
      <c r="AQ748" s="107"/>
      <c r="AR748" s="5"/>
      <c r="AS748" s="5"/>
    </row>
    <row r="749" spans="1:45" ht="15.75" customHeight="1" x14ac:dyDescent="0.25">
      <c r="A749" s="107"/>
      <c r="B749" s="8"/>
      <c r="C749" s="8"/>
      <c r="D749" s="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107"/>
      <c r="AK749" s="107"/>
      <c r="AL749" s="107"/>
      <c r="AM749" s="107"/>
      <c r="AN749" s="107"/>
      <c r="AO749" s="107"/>
      <c r="AP749" s="107"/>
      <c r="AQ749" s="107"/>
      <c r="AR749" s="5"/>
      <c r="AS749" s="5"/>
    </row>
    <row r="750" spans="1:45" ht="15.75" customHeight="1" x14ac:dyDescent="0.25">
      <c r="A750" s="107"/>
      <c r="B750" s="8"/>
      <c r="C750" s="8"/>
      <c r="D750" s="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107"/>
      <c r="AK750" s="107"/>
      <c r="AL750" s="107"/>
      <c r="AM750" s="107"/>
      <c r="AN750" s="107"/>
      <c r="AO750" s="107"/>
      <c r="AP750" s="107"/>
      <c r="AQ750" s="107"/>
      <c r="AR750" s="5"/>
      <c r="AS750" s="5"/>
    </row>
    <row r="751" spans="1:45" ht="15.75" customHeight="1" x14ac:dyDescent="0.25">
      <c r="A751" s="107"/>
      <c r="B751" s="8"/>
      <c r="C751" s="8"/>
      <c r="D751" s="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107"/>
      <c r="AK751" s="107"/>
      <c r="AL751" s="107"/>
      <c r="AM751" s="107"/>
      <c r="AN751" s="107"/>
      <c r="AO751" s="107"/>
      <c r="AP751" s="107"/>
      <c r="AQ751" s="107"/>
      <c r="AR751" s="5"/>
      <c r="AS751" s="5"/>
    </row>
    <row r="752" spans="1:45" ht="15.75" customHeight="1" x14ac:dyDescent="0.25">
      <c r="A752" s="107"/>
      <c r="B752" s="8"/>
      <c r="C752" s="8"/>
      <c r="D752" s="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107"/>
      <c r="AK752" s="107"/>
      <c r="AL752" s="107"/>
      <c r="AM752" s="107"/>
      <c r="AN752" s="107"/>
      <c r="AO752" s="107"/>
      <c r="AP752" s="107"/>
      <c r="AQ752" s="107"/>
      <c r="AR752" s="5"/>
      <c r="AS752" s="5"/>
    </row>
    <row r="753" spans="1:45" ht="15.75" customHeight="1" x14ac:dyDescent="0.25">
      <c r="A753" s="107"/>
      <c r="B753" s="8"/>
      <c r="C753" s="8"/>
      <c r="D753" s="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107"/>
      <c r="AK753" s="107"/>
      <c r="AL753" s="107"/>
      <c r="AM753" s="107"/>
      <c r="AN753" s="107"/>
      <c r="AO753" s="107"/>
      <c r="AP753" s="107"/>
      <c r="AQ753" s="107"/>
      <c r="AR753" s="5"/>
      <c r="AS753" s="5"/>
    </row>
    <row r="754" spans="1:45" ht="15.75" customHeight="1" x14ac:dyDescent="0.25">
      <c r="A754" s="107"/>
      <c r="B754" s="8"/>
      <c r="C754" s="8"/>
      <c r="D754" s="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107"/>
      <c r="AK754" s="107"/>
      <c r="AL754" s="107"/>
      <c r="AM754" s="107"/>
      <c r="AN754" s="107"/>
      <c r="AO754" s="107"/>
      <c r="AP754" s="107"/>
      <c r="AQ754" s="107"/>
      <c r="AR754" s="5"/>
      <c r="AS754" s="5"/>
    </row>
    <row r="755" spans="1:45" ht="15.75" customHeight="1" x14ac:dyDescent="0.25">
      <c r="A755" s="107"/>
      <c r="B755" s="8"/>
      <c r="C755" s="8"/>
      <c r="D755" s="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107"/>
      <c r="AK755" s="107"/>
      <c r="AL755" s="107"/>
      <c r="AM755" s="107"/>
      <c r="AN755" s="107"/>
      <c r="AO755" s="107"/>
      <c r="AP755" s="107"/>
      <c r="AQ755" s="107"/>
      <c r="AR755" s="5"/>
      <c r="AS755" s="5"/>
    </row>
    <row r="756" spans="1:45" ht="15.75" customHeight="1" x14ac:dyDescent="0.25">
      <c r="A756" s="107"/>
      <c r="B756" s="8"/>
      <c r="C756" s="8"/>
      <c r="D756" s="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107"/>
      <c r="AK756" s="107"/>
      <c r="AL756" s="107"/>
      <c r="AM756" s="107"/>
      <c r="AN756" s="107"/>
      <c r="AO756" s="107"/>
      <c r="AP756" s="107"/>
      <c r="AQ756" s="107"/>
      <c r="AR756" s="5"/>
      <c r="AS756" s="5"/>
    </row>
    <row r="757" spans="1:45" ht="15.75" customHeight="1" x14ac:dyDescent="0.25">
      <c r="A757" s="107"/>
      <c r="B757" s="8"/>
      <c r="C757" s="8"/>
      <c r="D757" s="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107"/>
      <c r="AK757" s="107"/>
      <c r="AL757" s="107"/>
      <c r="AM757" s="107"/>
      <c r="AN757" s="107"/>
      <c r="AO757" s="107"/>
      <c r="AP757" s="107"/>
      <c r="AQ757" s="107"/>
      <c r="AR757" s="5"/>
      <c r="AS757" s="5"/>
    </row>
    <row r="758" spans="1:45" ht="15.75" customHeight="1" x14ac:dyDescent="0.25">
      <c r="A758" s="107"/>
      <c r="B758" s="8"/>
      <c r="C758" s="8"/>
      <c r="D758" s="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107"/>
      <c r="AK758" s="107"/>
      <c r="AL758" s="107"/>
      <c r="AM758" s="107"/>
      <c r="AN758" s="107"/>
      <c r="AO758" s="107"/>
      <c r="AP758" s="107"/>
      <c r="AQ758" s="107"/>
      <c r="AR758" s="5"/>
      <c r="AS758" s="5"/>
    </row>
    <row r="759" spans="1:45" ht="15.75" customHeight="1" x14ac:dyDescent="0.25">
      <c r="A759" s="107"/>
      <c r="B759" s="8"/>
      <c r="C759" s="8"/>
      <c r="D759" s="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107"/>
      <c r="AK759" s="107"/>
      <c r="AL759" s="107"/>
      <c r="AM759" s="107"/>
      <c r="AN759" s="107"/>
      <c r="AO759" s="107"/>
      <c r="AP759" s="107"/>
      <c r="AQ759" s="107"/>
      <c r="AR759" s="5"/>
      <c r="AS759" s="5"/>
    </row>
    <row r="760" spans="1:45" ht="15.75" customHeight="1" x14ac:dyDescent="0.25">
      <c r="A760" s="107"/>
      <c r="B760" s="8"/>
      <c r="C760" s="8"/>
      <c r="D760" s="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107"/>
      <c r="AK760" s="107"/>
      <c r="AL760" s="107"/>
      <c r="AM760" s="107"/>
      <c r="AN760" s="107"/>
      <c r="AO760" s="107"/>
      <c r="AP760" s="107"/>
      <c r="AQ760" s="107"/>
      <c r="AR760" s="5"/>
      <c r="AS760" s="5"/>
    </row>
    <row r="761" spans="1:45" ht="15.75" customHeight="1" x14ac:dyDescent="0.25">
      <c r="A761" s="107"/>
      <c r="B761" s="8"/>
      <c r="C761" s="8"/>
      <c r="D761" s="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107"/>
      <c r="AK761" s="107"/>
      <c r="AL761" s="107"/>
      <c r="AM761" s="107"/>
      <c r="AN761" s="107"/>
      <c r="AO761" s="107"/>
      <c r="AP761" s="107"/>
      <c r="AQ761" s="107"/>
      <c r="AR761" s="5"/>
      <c r="AS761" s="5"/>
    </row>
    <row r="762" spans="1:45" ht="15.75" customHeight="1" x14ac:dyDescent="0.25">
      <c r="A762" s="107"/>
      <c r="B762" s="8"/>
      <c r="C762" s="8"/>
      <c r="D762" s="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107"/>
      <c r="AK762" s="107"/>
      <c r="AL762" s="107"/>
      <c r="AM762" s="107"/>
      <c r="AN762" s="107"/>
      <c r="AO762" s="107"/>
      <c r="AP762" s="107"/>
      <c r="AQ762" s="107"/>
      <c r="AR762" s="5"/>
      <c r="AS762" s="5"/>
    </row>
    <row r="763" spans="1:45" ht="15.75" customHeight="1" x14ac:dyDescent="0.25">
      <c r="A763" s="107"/>
      <c r="B763" s="8"/>
      <c r="C763" s="8"/>
      <c r="D763" s="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107"/>
      <c r="AK763" s="107"/>
      <c r="AL763" s="107"/>
      <c r="AM763" s="107"/>
      <c r="AN763" s="107"/>
      <c r="AO763" s="107"/>
      <c r="AP763" s="107"/>
      <c r="AQ763" s="107"/>
      <c r="AR763" s="5"/>
      <c r="AS763" s="5"/>
    </row>
    <row r="764" spans="1:45" ht="15.75" customHeight="1" x14ac:dyDescent="0.25">
      <c r="A764" s="107"/>
      <c r="B764" s="8"/>
      <c r="C764" s="8"/>
      <c r="D764" s="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107"/>
      <c r="AK764" s="107"/>
      <c r="AL764" s="107"/>
      <c r="AM764" s="107"/>
      <c r="AN764" s="107"/>
      <c r="AO764" s="107"/>
      <c r="AP764" s="107"/>
      <c r="AQ764" s="107"/>
      <c r="AR764" s="5"/>
      <c r="AS764" s="5"/>
    </row>
    <row r="765" spans="1:45" ht="15.75" customHeight="1" x14ac:dyDescent="0.25">
      <c r="A765" s="107"/>
      <c r="B765" s="8"/>
      <c r="C765" s="8"/>
      <c r="D765" s="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107"/>
      <c r="AK765" s="107"/>
      <c r="AL765" s="107"/>
      <c r="AM765" s="107"/>
      <c r="AN765" s="107"/>
      <c r="AO765" s="107"/>
      <c r="AP765" s="107"/>
      <c r="AQ765" s="107"/>
      <c r="AR765" s="5"/>
      <c r="AS765" s="5"/>
    </row>
    <row r="766" spans="1:45" ht="15.75" customHeight="1" x14ac:dyDescent="0.25">
      <c r="A766" s="107"/>
      <c r="B766" s="8"/>
      <c r="C766" s="8"/>
      <c r="D766" s="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107"/>
      <c r="AK766" s="107"/>
      <c r="AL766" s="107"/>
      <c r="AM766" s="107"/>
      <c r="AN766" s="107"/>
      <c r="AO766" s="107"/>
      <c r="AP766" s="107"/>
      <c r="AQ766" s="107"/>
      <c r="AR766" s="5"/>
      <c r="AS766" s="5"/>
    </row>
    <row r="767" spans="1:45" ht="15.75" customHeight="1" x14ac:dyDescent="0.25">
      <c r="A767" s="107"/>
      <c r="B767" s="8"/>
      <c r="C767" s="8"/>
      <c r="D767" s="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107"/>
      <c r="AK767" s="107"/>
      <c r="AL767" s="107"/>
      <c r="AM767" s="107"/>
      <c r="AN767" s="107"/>
      <c r="AO767" s="107"/>
      <c r="AP767" s="107"/>
      <c r="AQ767" s="107"/>
      <c r="AR767" s="5"/>
      <c r="AS767" s="5"/>
    </row>
    <row r="768" spans="1:45" ht="15.75" customHeight="1" x14ac:dyDescent="0.25">
      <c r="A768" s="107"/>
      <c r="B768" s="8"/>
      <c r="C768" s="8"/>
      <c r="D768" s="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107"/>
      <c r="AK768" s="107"/>
      <c r="AL768" s="107"/>
      <c r="AM768" s="107"/>
      <c r="AN768" s="107"/>
      <c r="AO768" s="107"/>
      <c r="AP768" s="107"/>
      <c r="AQ768" s="107"/>
      <c r="AR768" s="5"/>
      <c r="AS768" s="5"/>
    </row>
    <row r="769" spans="1:45" ht="15.75" customHeight="1" x14ac:dyDescent="0.25">
      <c r="A769" s="107"/>
      <c r="B769" s="8"/>
      <c r="C769" s="8"/>
      <c r="D769" s="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107"/>
      <c r="AK769" s="107"/>
      <c r="AL769" s="107"/>
      <c r="AM769" s="107"/>
      <c r="AN769" s="107"/>
      <c r="AO769" s="107"/>
      <c r="AP769" s="107"/>
      <c r="AQ769" s="107"/>
      <c r="AR769" s="5"/>
      <c r="AS769" s="5"/>
    </row>
    <row r="770" spans="1:45" ht="15.75" customHeight="1" x14ac:dyDescent="0.25">
      <c r="A770" s="107"/>
      <c r="B770" s="8"/>
      <c r="C770" s="8"/>
      <c r="D770" s="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107"/>
      <c r="AK770" s="107"/>
      <c r="AL770" s="107"/>
      <c r="AM770" s="107"/>
      <c r="AN770" s="107"/>
      <c r="AO770" s="107"/>
      <c r="AP770" s="107"/>
      <c r="AQ770" s="107"/>
      <c r="AR770" s="5"/>
      <c r="AS770" s="5"/>
    </row>
    <row r="771" spans="1:45" ht="15.75" customHeight="1" x14ac:dyDescent="0.25">
      <c r="A771" s="107"/>
      <c r="B771" s="8"/>
      <c r="C771" s="8"/>
      <c r="D771" s="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107"/>
      <c r="AK771" s="107"/>
      <c r="AL771" s="107"/>
      <c r="AM771" s="107"/>
      <c r="AN771" s="107"/>
      <c r="AO771" s="107"/>
      <c r="AP771" s="107"/>
      <c r="AQ771" s="107"/>
      <c r="AR771" s="5"/>
      <c r="AS771" s="5"/>
    </row>
    <row r="772" spans="1:45" ht="15.75" customHeight="1" x14ac:dyDescent="0.25">
      <c r="A772" s="107"/>
      <c r="B772" s="8"/>
      <c r="C772" s="8"/>
      <c r="D772" s="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107"/>
      <c r="AK772" s="107"/>
      <c r="AL772" s="107"/>
      <c r="AM772" s="107"/>
      <c r="AN772" s="107"/>
      <c r="AO772" s="107"/>
      <c r="AP772" s="107"/>
      <c r="AQ772" s="107"/>
      <c r="AR772" s="5"/>
      <c r="AS772" s="5"/>
    </row>
    <row r="773" spans="1:45" ht="15.75" customHeight="1" x14ac:dyDescent="0.25">
      <c r="A773" s="107"/>
      <c r="B773" s="8"/>
      <c r="C773" s="8"/>
      <c r="D773" s="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107"/>
      <c r="AK773" s="107"/>
      <c r="AL773" s="107"/>
      <c r="AM773" s="107"/>
      <c r="AN773" s="107"/>
      <c r="AO773" s="107"/>
      <c r="AP773" s="107"/>
      <c r="AQ773" s="107"/>
      <c r="AR773" s="5"/>
      <c r="AS773" s="5"/>
    </row>
    <row r="774" spans="1:45" ht="15.75" customHeight="1" x14ac:dyDescent="0.25">
      <c r="A774" s="107"/>
      <c r="B774" s="8"/>
      <c r="C774" s="8"/>
      <c r="D774" s="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107"/>
      <c r="AK774" s="107"/>
      <c r="AL774" s="107"/>
      <c r="AM774" s="107"/>
      <c r="AN774" s="107"/>
      <c r="AO774" s="107"/>
      <c r="AP774" s="107"/>
      <c r="AQ774" s="107"/>
      <c r="AR774" s="5"/>
      <c r="AS774" s="5"/>
    </row>
    <row r="775" spans="1:45" ht="15.75" customHeight="1" x14ac:dyDescent="0.25">
      <c r="A775" s="107"/>
      <c r="B775" s="8"/>
      <c r="C775" s="8"/>
      <c r="D775" s="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107"/>
      <c r="AK775" s="107"/>
      <c r="AL775" s="107"/>
      <c r="AM775" s="107"/>
      <c r="AN775" s="107"/>
      <c r="AO775" s="107"/>
      <c r="AP775" s="107"/>
      <c r="AQ775" s="107"/>
      <c r="AR775" s="5"/>
      <c r="AS775" s="5"/>
    </row>
    <row r="776" spans="1:45" ht="15.75" customHeight="1" x14ac:dyDescent="0.25">
      <c r="A776" s="107"/>
      <c r="B776" s="8"/>
      <c r="C776" s="8"/>
      <c r="D776" s="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107"/>
      <c r="AK776" s="107"/>
      <c r="AL776" s="107"/>
      <c r="AM776" s="107"/>
      <c r="AN776" s="107"/>
      <c r="AO776" s="107"/>
      <c r="AP776" s="107"/>
      <c r="AQ776" s="107"/>
      <c r="AR776" s="5"/>
      <c r="AS776" s="5"/>
    </row>
    <row r="777" spans="1:45" ht="15.75" customHeight="1" x14ac:dyDescent="0.25">
      <c r="A777" s="107"/>
      <c r="B777" s="8"/>
      <c r="C777" s="8"/>
      <c r="D777" s="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107"/>
      <c r="AK777" s="107"/>
      <c r="AL777" s="107"/>
      <c r="AM777" s="107"/>
      <c r="AN777" s="107"/>
      <c r="AO777" s="107"/>
      <c r="AP777" s="107"/>
      <c r="AQ777" s="107"/>
      <c r="AR777" s="5"/>
      <c r="AS777" s="5"/>
    </row>
    <row r="778" spans="1:45" ht="15.75" customHeight="1" x14ac:dyDescent="0.25">
      <c r="A778" s="107"/>
      <c r="B778" s="8"/>
      <c r="C778" s="8"/>
      <c r="D778" s="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107"/>
      <c r="AK778" s="107"/>
      <c r="AL778" s="107"/>
      <c r="AM778" s="107"/>
      <c r="AN778" s="107"/>
      <c r="AO778" s="107"/>
      <c r="AP778" s="107"/>
      <c r="AQ778" s="107"/>
      <c r="AR778" s="5"/>
      <c r="AS778" s="5"/>
    </row>
    <row r="779" spans="1:45" ht="15.75" customHeight="1" x14ac:dyDescent="0.25">
      <c r="A779" s="107"/>
      <c r="B779" s="8"/>
      <c r="C779" s="8"/>
      <c r="D779" s="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107"/>
      <c r="AK779" s="107"/>
      <c r="AL779" s="107"/>
      <c r="AM779" s="107"/>
      <c r="AN779" s="107"/>
      <c r="AO779" s="107"/>
      <c r="AP779" s="107"/>
      <c r="AQ779" s="107"/>
      <c r="AR779" s="5"/>
      <c r="AS779" s="5"/>
    </row>
    <row r="780" spans="1:45" ht="15.75" customHeight="1" x14ac:dyDescent="0.25">
      <c r="A780" s="107"/>
      <c r="B780" s="8"/>
      <c r="C780" s="8"/>
      <c r="D780" s="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107"/>
      <c r="AK780" s="107"/>
      <c r="AL780" s="107"/>
      <c r="AM780" s="107"/>
      <c r="AN780" s="107"/>
      <c r="AO780" s="107"/>
      <c r="AP780" s="107"/>
      <c r="AQ780" s="107"/>
      <c r="AR780" s="5"/>
      <c r="AS780" s="5"/>
    </row>
    <row r="781" spans="1:45" ht="15.75" customHeight="1" x14ac:dyDescent="0.25">
      <c r="A781" s="107"/>
      <c r="B781" s="8"/>
      <c r="C781" s="8"/>
      <c r="D781" s="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107"/>
      <c r="AK781" s="107"/>
      <c r="AL781" s="107"/>
      <c r="AM781" s="107"/>
      <c r="AN781" s="107"/>
      <c r="AO781" s="107"/>
      <c r="AP781" s="107"/>
      <c r="AQ781" s="107"/>
      <c r="AR781" s="5"/>
      <c r="AS781" s="5"/>
    </row>
    <row r="782" spans="1:45" ht="15.75" customHeight="1" x14ac:dyDescent="0.25">
      <c r="A782" s="107"/>
      <c r="B782" s="8"/>
      <c r="C782" s="8"/>
      <c r="D782" s="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107"/>
      <c r="AK782" s="107"/>
      <c r="AL782" s="107"/>
      <c r="AM782" s="107"/>
      <c r="AN782" s="107"/>
      <c r="AO782" s="107"/>
      <c r="AP782" s="107"/>
      <c r="AQ782" s="107"/>
      <c r="AR782" s="5"/>
      <c r="AS782" s="5"/>
    </row>
    <row r="783" spans="1:45" ht="15.75" customHeight="1" x14ac:dyDescent="0.25">
      <c r="A783" s="107"/>
      <c r="B783" s="8"/>
      <c r="C783" s="8"/>
      <c r="D783" s="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107"/>
      <c r="AK783" s="107"/>
      <c r="AL783" s="107"/>
      <c r="AM783" s="107"/>
      <c r="AN783" s="107"/>
      <c r="AO783" s="107"/>
      <c r="AP783" s="107"/>
      <c r="AQ783" s="107"/>
      <c r="AR783" s="5"/>
      <c r="AS783" s="5"/>
    </row>
    <row r="784" spans="1:45" ht="15.75" customHeight="1" x14ac:dyDescent="0.25">
      <c r="A784" s="107"/>
      <c r="B784" s="8"/>
      <c r="C784" s="8"/>
      <c r="D784" s="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107"/>
      <c r="AK784" s="107"/>
      <c r="AL784" s="107"/>
      <c r="AM784" s="107"/>
      <c r="AN784" s="107"/>
      <c r="AO784" s="107"/>
      <c r="AP784" s="107"/>
      <c r="AQ784" s="107"/>
      <c r="AR784" s="5"/>
      <c r="AS784" s="5"/>
    </row>
    <row r="785" spans="1:45" ht="15.75" customHeight="1" x14ac:dyDescent="0.25">
      <c r="A785" s="107"/>
      <c r="B785" s="8"/>
      <c r="C785" s="8"/>
      <c r="D785" s="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107"/>
      <c r="AK785" s="107"/>
      <c r="AL785" s="107"/>
      <c r="AM785" s="107"/>
      <c r="AN785" s="107"/>
      <c r="AO785" s="107"/>
      <c r="AP785" s="107"/>
      <c r="AQ785" s="107"/>
      <c r="AR785" s="5"/>
      <c r="AS785" s="5"/>
    </row>
    <row r="786" spans="1:45" ht="15.75" customHeight="1" x14ac:dyDescent="0.25">
      <c r="A786" s="107"/>
      <c r="B786" s="8"/>
      <c r="C786" s="8"/>
      <c r="D786" s="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107"/>
      <c r="AK786" s="107"/>
      <c r="AL786" s="107"/>
      <c r="AM786" s="107"/>
      <c r="AN786" s="107"/>
      <c r="AO786" s="107"/>
      <c r="AP786" s="107"/>
      <c r="AQ786" s="107"/>
      <c r="AR786" s="5"/>
      <c r="AS786" s="5"/>
    </row>
    <row r="787" spans="1:45" ht="15.75" customHeight="1" x14ac:dyDescent="0.25">
      <c r="A787" s="107"/>
      <c r="B787" s="8"/>
      <c r="C787" s="8"/>
      <c r="D787" s="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107"/>
      <c r="AK787" s="107"/>
      <c r="AL787" s="107"/>
      <c r="AM787" s="107"/>
      <c r="AN787" s="107"/>
      <c r="AO787" s="107"/>
      <c r="AP787" s="107"/>
      <c r="AQ787" s="107"/>
      <c r="AR787" s="5"/>
      <c r="AS787" s="5"/>
    </row>
    <row r="788" spans="1:45" ht="15.75" customHeight="1" x14ac:dyDescent="0.25">
      <c r="A788" s="107"/>
      <c r="B788" s="8"/>
      <c r="C788" s="8"/>
      <c r="D788" s="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107"/>
      <c r="AK788" s="107"/>
      <c r="AL788" s="107"/>
      <c r="AM788" s="107"/>
      <c r="AN788" s="107"/>
      <c r="AO788" s="107"/>
      <c r="AP788" s="107"/>
      <c r="AQ788" s="107"/>
      <c r="AR788" s="5"/>
      <c r="AS788" s="5"/>
    </row>
    <row r="789" spans="1:45" ht="15.75" customHeight="1" x14ac:dyDescent="0.25">
      <c r="A789" s="107"/>
      <c r="B789" s="8"/>
      <c r="C789" s="8"/>
      <c r="D789" s="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107"/>
      <c r="AK789" s="107"/>
      <c r="AL789" s="107"/>
      <c r="AM789" s="107"/>
      <c r="AN789" s="107"/>
      <c r="AO789" s="107"/>
      <c r="AP789" s="107"/>
      <c r="AQ789" s="107"/>
      <c r="AR789" s="5"/>
      <c r="AS789" s="5"/>
    </row>
    <row r="790" spans="1:45" ht="15.75" customHeight="1" x14ac:dyDescent="0.25">
      <c r="A790" s="107"/>
      <c r="B790" s="8"/>
      <c r="C790" s="8"/>
      <c r="D790" s="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107"/>
      <c r="AK790" s="107"/>
      <c r="AL790" s="107"/>
      <c r="AM790" s="107"/>
      <c r="AN790" s="107"/>
      <c r="AO790" s="107"/>
      <c r="AP790" s="107"/>
      <c r="AQ790" s="107"/>
      <c r="AR790" s="5"/>
      <c r="AS790" s="5"/>
    </row>
    <row r="791" spans="1:45" ht="15.75" customHeight="1" x14ac:dyDescent="0.25">
      <c r="A791" s="107"/>
      <c r="B791" s="8"/>
      <c r="C791" s="8"/>
      <c r="D791" s="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107"/>
      <c r="AK791" s="107"/>
      <c r="AL791" s="107"/>
      <c r="AM791" s="107"/>
      <c r="AN791" s="107"/>
      <c r="AO791" s="107"/>
      <c r="AP791" s="107"/>
      <c r="AQ791" s="107"/>
      <c r="AR791" s="5"/>
      <c r="AS791" s="5"/>
    </row>
    <row r="792" spans="1:45" ht="15.75" customHeight="1" x14ac:dyDescent="0.25">
      <c r="A792" s="107"/>
      <c r="B792" s="8"/>
      <c r="C792" s="8"/>
      <c r="D792" s="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107"/>
      <c r="AK792" s="107"/>
      <c r="AL792" s="107"/>
      <c r="AM792" s="107"/>
      <c r="AN792" s="107"/>
      <c r="AO792" s="107"/>
      <c r="AP792" s="107"/>
      <c r="AQ792" s="107"/>
      <c r="AR792" s="5"/>
      <c r="AS792" s="5"/>
    </row>
    <row r="793" spans="1:45" ht="15.75" customHeight="1" x14ac:dyDescent="0.25">
      <c r="A793" s="107"/>
      <c r="B793" s="8"/>
      <c r="C793" s="8"/>
      <c r="D793" s="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107"/>
      <c r="AK793" s="107"/>
      <c r="AL793" s="107"/>
      <c r="AM793" s="107"/>
      <c r="AN793" s="107"/>
      <c r="AO793" s="107"/>
      <c r="AP793" s="107"/>
      <c r="AQ793" s="107"/>
      <c r="AR793" s="5"/>
      <c r="AS793" s="5"/>
    </row>
    <row r="794" spans="1:45" ht="15.75" customHeight="1" x14ac:dyDescent="0.25">
      <c r="A794" s="107"/>
      <c r="B794" s="8"/>
      <c r="C794" s="8"/>
      <c r="D794" s="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107"/>
      <c r="AK794" s="107"/>
      <c r="AL794" s="107"/>
      <c r="AM794" s="107"/>
      <c r="AN794" s="107"/>
      <c r="AO794" s="107"/>
      <c r="AP794" s="107"/>
      <c r="AQ794" s="107"/>
      <c r="AR794" s="5"/>
      <c r="AS794" s="5"/>
    </row>
    <row r="795" spans="1:45" ht="15.75" customHeight="1" x14ac:dyDescent="0.25">
      <c r="A795" s="107"/>
      <c r="B795" s="8"/>
      <c r="C795" s="8"/>
      <c r="D795" s="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107"/>
      <c r="AK795" s="107"/>
      <c r="AL795" s="107"/>
      <c r="AM795" s="107"/>
      <c r="AN795" s="107"/>
      <c r="AO795" s="107"/>
      <c r="AP795" s="107"/>
      <c r="AQ795" s="107"/>
      <c r="AR795" s="5"/>
      <c r="AS795" s="5"/>
    </row>
    <row r="796" spans="1:45" ht="15.75" customHeight="1" x14ac:dyDescent="0.25">
      <c r="A796" s="107"/>
      <c r="B796" s="8"/>
      <c r="C796" s="8"/>
      <c r="D796" s="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107"/>
      <c r="AK796" s="107"/>
      <c r="AL796" s="107"/>
      <c r="AM796" s="107"/>
      <c r="AN796" s="107"/>
      <c r="AO796" s="107"/>
      <c r="AP796" s="107"/>
      <c r="AQ796" s="107"/>
      <c r="AR796" s="5"/>
      <c r="AS796" s="5"/>
    </row>
    <row r="797" spans="1:45" ht="15.75" customHeight="1" x14ac:dyDescent="0.25">
      <c r="A797" s="107"/>
      <c r="B797" s="8"/>
      <c r="C797" s="8"/>
      <c r="D797" s="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107"/>
      <c r="AK797" s="107"/>
      <c r="AL797" s="107"/>
      <c r="AM797" s="107"/>
      <c r="AN797" s="107"/>
      <c r="AO797" s="107"/>
      <c r="AP797" s="107"/>
      <c r="AQ797" s="107"/>
      <c r="AR797" s="5"/>
      <c r="AS797" s="5"/>
    </row>
    <row r="798" spans="1:45" ht="15.75" customHeight="1" x14ac:dyDescent="0.25">
      <c r="A798" s="107"/>
      <c r="B798" s="8"/>
      <c r="C798" s="8"/>
      <c r="D798" s="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107"/>
      <c r="AK798" s="107"/>
      <c r="AL798" s="107"/>
      <c r="AM798" s="107"/>
      <c r="AN798" s="107"/>
      <c r="AO798" s="107"/>
      <c r="AP798" s="107"/>
      <c r="AQ798" s="107"/>
      <c r="AR798" s="5"/>
      <c r="AS798" s="5"/>
    </row>
    <row r="799" spans="1:45" ht="15.75" customHeight="1" x14ac:dyDescent="0.25">
      <c r="A799" s="107"/>
      <c r="B799" s="8"/>
      <c r="C799" s="8"/>
      <c r="D799" s="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107"/>
      <c r="AK799" s="107"/>
      <c r="AL799" s="107"/>
      <c r="AM799" s="107"/>
      <c r="AN799" s="107"/>
      <c r="AO799" s="107"/>
      <c r="AP799" s="107"/>
      <c r="AQ799" s="107"/>
      <c r="AR799" s="5"/>
      <c r="AS799" s="5"/>
    </row>
    <row r="800" spans="1:45" ht="15.75" customHeight="1" x14ac:dyDescent="0.25">
      <c r="A800" s="107"/>
      <c r="B800" s="8"/>
      <c r="C800" s="8"/>
      <c r="D800" s="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107"/>
      <c r="AK800" s="107"/>
      <c r="AL800" s="107"/>
      <c r="AM800" s="107"/>
      <c r="AN800" s="107"/>
      <c r="AO800" s="107"/>
      <c r="AP800" s="107"/>
      <c r="AQ800" s="107"/>
      <c r="AR800" s="5"/>
      <c r="AS800" s="5"/>
    </row>
    <row r="801" spans="1:45" ht="15.75" customHeight="1" x14ac:dyDescent="0.25">
      <c r="A801" s="107"/>
      <c r="B801" s="8"/>
      <c r="C801" s="8"/>
      <c r="D801" s="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107"/>
      <c r="AK801" s="107"/>
      <c r="AL801" s="107"/>
      <c r="AM801" s="107"/>
      <c r="AN801" s="107"/>
      <c r="AO801" s="107"/>
      <c r="AP801" s="107"/>
      <c r="AQ801" s="107"/>
      <c r="AR801" s="5"/>
      <c r="AS801" s="5"/>
    </row>
    <row r="802" spans="1:45" ht="15.75" customHeight="1" x14ac:dyDescent="0.25">
      <c r="A802" s="107"/>
      <c r="B802" s="8"/>
      <c r="C802" s="8"/>
      <c r="D802" s="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107"/>
      <c r="AK802" s="107"/>
      <c r="AL802" s="107"/>
      <c r="AM802" s="107"/>
      <c r="AN802" s="107"/>
      <c r="AO802" s="107"/>
      <c r="AP802" s="107"/>
      <c r="AQ802" s="107"/>
      <c r="AR802" s="5"/>
      <c r="AS802" s="5"/>
    </row>
    <row r="803" spans="1:45" ht="15.75" customHeight="1" x14ac:dyDescent="0.25">
      <c r="A803" s="107"/>
      <c r="B803" s="8"/>
      <c r="C803" s="8"/>
      <c r="D803" s="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107"/>
      <c r="AK803" s="107"/>
      <c r="AL803" s="107"/>
      <c r="AM803" s="107"/>
      <c r="AN803" s="107"/>
      <c r="AO803" s="107"/>
      <c r="AP803" s="107"/>
      <c r="AQ803" s="107"/>
      <c r="AR803" s="5"/>
      <c r="AS803" s="5"/>
    </row>
    <row r="804" spans="1:45" ht="15.75" customHeight="1" x14ac:dyDescent="0.25">
      <c r="A804" s="107"/>
      <c r="B804" s="8"/>
      <c r="C804" s="8"/>
      <c r="D804" s="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107"/>
      <c r="AK804" s="107"/>
      <c r="AL804" s="107"/>
      <c r="AM804" s="107"/>
      <c r="AN804" s="107"/>
      <c r="AO804" s="107"/>
      <c r="AP804" s="107"/>
      <c r="AQ804" s="107"/>
      <c r="AR804" s="5"/>
      <c r="AS804" s="5"/>
    </row>
    <row r="805" spans="1:45" ht="15.75" customHeight="1" x14ac:dyDescent="0.25">
      <c r="A805" s="107"/>
      <c r="B805" s="8"/>
      <c r="C805" s="8"/>
      <c r="D805" s="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107"/>
      <c r="AK805" s="107"/>
      <c r="AL805" s="107"/>
      <c r="AM805" s="107"/>
      <c r="AN805" s="107"/>
      <c r="AO805" s="107"/>
      <c r="AP805" s="107"/>
      <c r="AQ805" s="107"/>
      <c r="AR805" s="5"/>
      <c r="AS805" s="5"/>
    </row>
    <row r="806" spans="1:45" ht="15.75" customHeight="1" x14ac:dyDescent="0.25">
      <c r="A806" s="107"/>
      <c r="B806" s="8"/>
      <c r="C806" s="8"/>
      <c r="D806" s="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107"/>
      <c r="AK806" s="107"/>
      <c r="AL806" s="107"/>
      <c r="AM806" s="107"/>
      <c r="AN806" s="107"/>
      <c r="AO806" s="107"/>
      <c r="AP806" s="107"/>
      <c r="AQ806" s="107"/>
      <c r="AR806" s="5"/>
      <c r="AS806" s="5"/>
    </row>
    <row r="807" spans="1:45" ht="15.75" customHeight="1" x14ac:dyDescent="0.25">
      <c r="A807" s="107"/>
      <c r="B807" s="8"/>
      <c r="C807" s="8"/>
      <c r="D807" s="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107"/>
      <c r="AK807" s="107"/>
      <c r="AL807" s="107"/>
      <c r="AM807" s="107"/>
      <c r="AN807" s="107"/>
      <c r="AO807" s="107"/>
      <c r="AP807" s="107"/>
      <c r="AQ807" s="107"/>
      <c r="AR807" s="5"/>
      <c r="AS807" s="5"/>
    </row>
    <row r="808" spans="1:45" ht="15.75" customHeight="1" x14ac:dyDescent="0.25">
      <c r="A808" s="107"/>
      <c r="B808" s="8"/>
      <c r="C808" s="8"/>
      <c r="D808" s="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107"/>
      <c r="AK808" s="107"/>
      <c r="AL808" s="107"/>
      <c r="AM808" s="107"/>
      <c r="AN808" s="107"/>
      <c r="AO808" s="107"/>
      <c r="AP808" s="107"/>
      <c r="AQ808" s="107"/>
      <c r="AR808" s="5"/>
      <c r="AS808" s="5"/>
    </row>
    <row r="809" spans="1:45" ht="15.75" customHeight="1" x14ac:dyDescent="0.25">
      <c r="A809" s="107"/>
      <c r="B809" s="8"/>
      <c r="C809" s="8"/>
      <c r="D809" s="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107"/>
      <c r="AK809" s="107"/>
      <c r="AL809" s="107"/>
      <c r="AM809" s="107"/>
      <c r="AN809" s="107"/>
      <c r="AO809" s="107"/>
      <c r="AP809" s="107"/>
      <c r="AQ809" s="107"/>
      <c r="AR809" s="5"/>
      <c r="AS809" s="5"/>
    </row>
    <row r="810" spans="1:45" ht="15.75" customHeight="1" x14ac:dyDescent="0.25">
      <c r="A810" s="107"/>
      <c r="B810" s="8"/>
      <c r="C810" s="8"/>
      <c r="D810" s="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107"/>
      <c r="AK810" s="107"/>
      <c r="AL810" s="107"/>
      <c r="AM810" s="107"/>
      <c r="AN810" s="107"/>
      <c r="AO810" s="107"/>
      <c r="AP810" s="107"/>
      <c r="AQ810" s="107"/>
      <c r="AR810" s="5"/>
      <c r="AS810" s="5"/>
    </row>
    <row r="811" spans="1:45" ht="15.75" customHeight="1" x14ac:dyDescent="0.25">
      <c r="A811" s="107"/>
      <c r="B811" s="8"/>
      <c r="C811" s="8"/>
      <c r="D811" s="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107"/>
      <c r="AK811" s="107"/>
      <c r="AL811" s="107"/>
      <c r="AM811" s="107"/>
      <c r="AN811" s="107"/>
      <c r="AO811" s="107"/>
      <c r="AP811" s="107"/>
      <c r="AQ811" s="107"/>
      <c r="AR811" s="5"/>
      <c r="AS811" s="5"/>
    </row>
    <row r="812" spans="1:45" ht="15.75" customHeight="1" x14ac:dyDescent="0.25">
      <c r="A812" s="107"/>
      <c r="B812" s="8"/>
      <c r="C812" s="8"/>
      <c r="D812" s="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107"/>
      <c r="AK812" s="107"/>
      <c r="AL812" s="107"/>
      <c r="AM812" s="107"/>
      <c r="AN812" s="107"/>
      <c r="AO812" s="107"/>
      <c r="AP812" s="107"/>
      <c r="AQ812" s="107"/>
      <c r="AR812" s="5"/>
      <c r="AS812" s="5"/>
    </row>
    <row r="813" spans="1:45" ht="15.75" customHeight="1" x14ac:dyDescent="0.25">
      <c r="A813" s="107"/>
      <c r="B813" s="8"/>
      <c r="C813" s="8"/>
      <c r="D813" s="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107"/>
      <c r="AK813" s="107"/>
      <c r="AL813" s="107"/>
      <c r="AM813" s="107"/>
      <c r="AN813" s="107"/>
      <c r="AO813" s="107"/>
      <c r="AP813" s="107"/>
      <c r="AQ813" s="107"/>
      <c r="AR813" s="5"/>
      <c r="AS813" s="5"/>
    </row>
    <row r="814" spans="1:45" ht="15.75" customHeight="1" x14ac:dyDescent="0.25">
      <c r="A814" s="107"/>
      <c r="B814" s="8"/>
      <c r="C814" s="8"/>
      <c r="D814" s="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107"/>
      <c r="AK814" s="107"/>
      <c r="AL814" s="107"/>
      <c r="AM814" s="107"/>
      <c r="AN814" s="107"/>
      <c r="AO814" s="107"/>
      <c r="AP814" s="107"/>
      <c r="AQ814" s="107"/>
      <c r="AR814" s="5"/>
      <c r="AS814" s="5"/>
    </row>
    <row r="815" spans="1:45" ht="15.75" customHeight="1" x14ac:dyDescent="0.25">
      <c r="A815" s="107"/>
      <c r="B815" s="8"/>
      <c r="C815" s="8"/>
      <c r="D815" s="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107"/>
      <c r="AK815" s="107"/>
      <c r="AL815" s="107"/>
      <c r="AM815" s="107"/>
      <c r="AN815" s="107"/>
      <c r="AO815" s="107"/>
      <c r="AP815" s="107"/>
      <c r="AQ815" s="107"/>
      <c r="AR815" s="5"/>
      <c r="AS815" s="5"/>
    </row>
    <row r="816" spans="1:45" ht="15.75" customHeight="1" x14ac:dyDescent="0.25">
      <c r="A816" s="107"/>
      <c r="B816" s="8"/>
      <c r="C816" s="8"/>
      <c r="D816" s="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107"/>
      <c r="AK816" s="107"/>
      <c r="AL816" s="107"/>
      <c r="AM816" s="107"/>
      <c r="AN816" s="107"/>
      <c r="AO816" s="107"/>
      <c r="AP816" s="107"/>
      <c r="AQ816" s="107"/>
      <c r="AR816" s="5"/>
      <c r="AS816" s="5"/>
    </row>
    <row r="817" spans="1:45" ht="15.75" customHeight="1" x14ac:dyDescent="0.25">
      <c r="A817" s="107"/>
      <c r="B817" s="8"/>
      <c r="C817" s="8"/>
      <c r="D817" s="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107"/>
      <c r="AK817" s="107"/>
      <c r="AL817" s="107"/>
      <c r="AM817" s="107"/>
      <c r="AN817" s="107"/>
      <c r="AO817" s="107"/>
      <c r="AP817" s="107"/>
      <c r="AQ817" s="107"/>
      <c r="AR817" s="5"/>
      <c r="AS817" s="5"/>
    </row>
    <row r="818" spans="1:45" ht="15.75" customHeight="1" x14ac:dyDescent="0.25">
      <c r="A818" s="107"/>
      <c r="B818" s="8"/>
      <c r="C818" s="8"/>
      <c r="D818" s="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107"/>
      <c r="AK818" s="107"/>
      <c r="AL818" s="107"/>
      <c r="AM818" s="107"/>
      <c r="AN818" s="107"/>
      <c r="AO818" s="107"/>
      <c r="AP818" s="107"/>
      <c r="AQ818" s="107"/>
      <c r="AR818" s="5"/>
      <c r="AS818" s="5"/>
    </row>
    <row r="819" spans="1:45" ht="15.75" customHeight="1" x14ac:dyDescent="0.25">
      <c r="A819" s="107"/>
      <c r="B819" s="8"/>
      <c r="C819" s="8"/>
      <c r="D819" s="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107"/>
      <c r="AK819" s="107"/>
      <c r="AL819" s="107"/>
      <c r="AM819" s="107"/>
      <c r="AN819" s="107"/>
      <c r="AO819" s="107"/>
      <c r="AP819" s="107"/>
      <c r="AQ819" s="107"/>
      <c r="AR819" s="5"/>
      <c r="AS819" s="5"/>
    </row>
    <row r="820" spans="1:45" ht="15.75" customHeight="1" x14ac:dyDescent="0.25">
      <c r="A820" s="107"/>
      <c r="B820" s="8"/>
      <c r="C820" s="8"/>
      <c r="D820" s="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107"/>
      <c r="AK820" s="107"/>
      <c r="AL820" s="107"/>
      <c r="AM820" s="107"/>
      <c r="AN820" s="107"/>
      <c r="AO820" s="107"/>
      <c r="AP820" s="107"/>
      <c r="AQ820" s="107"/>
      <c r="AR820" s="5"/>
      <c r="AS820" s="5"/>
    </row>
    <row r="821" spans="1:45" ht="15.75" customHeight="1" x14ac:dyDescent="0.25">
      <c r="A821" s="107"/>
      <c r="B821" s="8"/>
      <c r="C821" s="8"/>
      <c r="D821" s="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107"/>
      <c r="AK821" s="107"/>
      <c r="AL821" s="107"/>
      <c r="AM821" s="107"/>
      <c r="AN821" s="107"/>
      <c r="AO821" s="107"/>
      <c r="AP821" s="107"/>
      <c r="AQ821" s="107"/>
      <c r="AR821" s="5"/>
      <c r="AS821" s="5"/>
    </row>
    <row r="822" spans="1:45" ht="15.75" customHeight="1" x14ac:dyDescent="0.25">
      <c r="A822" s="107"/>
      <c r="B822" s="8"/>
      <c r="C822" s="8"/>
      <c r="D822" s="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107"/>
      <c r="AK822" s="107"/>
      <c r="AL822" s="107"/>
      <c r="AM822" s="107"/>
      <c r="AN822" s="107"/>
      <c r="AO822" s="107"/>
      <c r="AP822" s="107"/>
      <c r="AQ822" s="107"/>
      <c r="AR822" s="5"/>
      <c r="AS822" s="5"/>
    </row>
    <row r="823" spans="1:45" ht="15.75" customHeight="1" x14ac:dyDescent="0.25">
      <c r="A823" s="107"/>
      <c r="B823" s="8"/>
      <c r="C823" s="8"/>
      <c r="D823" s="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107"/>
      <c r="AK823" s="107"/>
      <c r="AL823" s="107"/>
      <c r="AM823" s="107"/>
      <c r="AN823" s="107"/>
      <c r="AO823" s="107"/>
      <c r="AP823" s="107"/>
      <c r="AQ823" s="107"/>
      <c r="AR823" s="5"/>
      <c r="AS823" s="5"/>
    </row>
    <row r="824" spans="1:45" ht="15.75" customHeight="1" x14ac:dyDescent="0.25">
      <c r="A824" s="107"/>
      <c r="B824" s="8"/>
      <c r="C824" s="8"/>
      <c r="D824" s="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107"/>
      <c r="AK824" s="107"/>
      <c r="AL824" s="107"/>
      <c r="AM824" s="107"/>
      <c r="AN824" s="107"/>
      <c r="AO824" s="107"/>
      <c r="AP824" s="107"/>
      <c r="AQ824" s="107"/>
      <c r="AR824" s="5"/>
      <c r="AS824" s="5"/>
    </row>
    <row r="825" spans="1:45" ht="15.75" customHeight="1" x14ac:dyDescent="0.25">
      <c r="A825" s="107"/>
      <c r="B825" s="8"/>
      <c r="C825" s="8"/>
      <c r="D825" s="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107"/>
      <c r="AK825" s="107"/>
      <c r="AL825" s="107"/>
      <c r="AM825" s="107"/>
      <c r="AN825" s="107"/>
      <c r="AO825" s="107"/>
      <c r="AP825" s="107"/>
      <c r="AQ825" s="107"/>
      <c r="AR825" s="5"/>
      <c r="AS825" s="5"/>
    </row>
    <row r="826" spans="1:45" ht="15.75" customHeight="1" x14ac:dyDescent="0.25">
      <c r="A826" s="107"/>
      <c r="B826" s="8"/>
      <c r="C826" s="8"/>
      <c r="D826" s="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107"/>
      <c r="AK826" s="107"/>
      <c r="AL826" s="107"/>
      <c r="AM826" s="107"/>
      <c r="AN826" s="107"/>
      <c r="AO826" s="107"/>
      <c r="AP826" s="107"/>
      <c r="AQ826" s="107"/>
      <c r="AR826" s="5"/>
      <c r="AS826" s="5"/>
    </row>
    <row r="827" spans="1:45" ht="15.75" customHeight="1" x14ac:dyDescent="0.25">
      <c r="A827" s="107"/>
      <c r="B827" s="8"/>
      <c r="C827" s="8"/>
      <c r="D827" s="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107"/>
      <c r="AK827" s="107"/>
      <c r="AL827" s="107"/>
      <c r="AM827" s="107"/>
      <c r="AN827" s="107"/>
      <c r="AO827" s="107"/>
      <c r="AP827" s="107"/>
      <c r="AQ827" s="107"/>
      <c r="AR827" s="5"/>
      <c r="AS827" s="5"/>
    </row>
    <row r="828" spans="1:45" ht="15.75" customHeight="1" x14ac:dyDescent="0.25">
      <c r="A828" s="107"/>
      <c r="B828" s="8"/>
      <c r="C828" s="8"/>
      <c r="D828" s="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107"/>
      <c r="AK828" s="107"/>
      <c r="AL828" s="107"/>
      <c r="AM828" s="107"/>
      <c r="AN828" s="107"/>
      <c r="AO828" s="107"/>
      <c r="AP828" s="107"/>
      <c r="AQ828" s="107"/>
      <c r="AR828" s="5"/>
      <c r="AS828" s="5"/>
    </row>
    <row r="829" spans="1:45" ht="15.75" customHeight="1" x14ac:dyDescent="0.25">
      <c r="A829" s="107"/>
      <c r="B829" s="8"/>
      <c r="C829" s="8"/>
      <c r="D829" s="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107"/>
      <c r="AK829" s="107"/>
      <c r="AL829" s="107"/>
      <c r="AM829" s="107"/>
      <c r="AN829" s="107"/>
      <c r="AO829" s="107"/>
      <c r="AP829" s="107"/>
      <c r="AQ829" s="107"/>
      <c r="AR829" s="5"/>
      <c r="AS829" s="5"/>
    </row>
    <row r="830" spans="1:45" ht="15.75" customHeight="1" x14ac:dyDescent="0.25">
      <c r="A830" s="107"/>
      <c r="B830" s="8"/>
      <c r="C830" s="8"/>
      <c r="D830" s="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107"/>
      <c r="AK830" s="107"/>
      <c r="AL830" s="107"/>
      <c r="AM830" s="107"/>
      <c r="AN830" s="107"/>
      <c r="AO830" s="107"/>
      <c r="AP830" s="107"/>
      <c r="AQ830" s="107"/>
      <c r="AR830" s="5"/>
      <c r="AS830" s="5"/>
    </row>
    <row r="831" spans="1:45" ht="15.75" customHeight="1" x14ac:dyDescent="0.25">
      <c r="A831" s="107"/>
      <c r="B831" s="8"/>
      <c r="C831" s="8"/>
      <c r="D831" s="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107"/>
      <c r="AK831" s="107"/>
      <c r="AL831" s="107"/>
      <c r="AM831" s="107"/>
      <c r="AN831" s="107"/>
      <c r="AO831" s="107"/>
      <c r="AP831" s="107"/>
      <c r="AQ831" s="107"/>
      <c r="AR831" s="5"/>
      <c r="AS831" s="5"/>
    </row>
    <row r="832" spans="1:45" ht="15.75" customHeight="1" x14ac:dyDescent="0.25">
      <c r="A832" s="107"/>
      <c r="B832" s="8"/>
      <c r="C832" s="8"/>
      <c r="D832" s="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107"/>
      <c r="AK832" s="107"/>
      <c r="AL832" s="107"/>
      <c r="AM832" s="107"/>
      <c r="AN832" s="107"/>
      <c r="AO832" s="107"/>
      <c r="AP832" s="107"/>
      <c r="AQ832" s="107"/>
      <c r="AR832" s="5"/>
      <c r="AS832" s="5"/>
    </row>
    <row r="833" spans="1:45" ht="15.75" customHeight="1" x14ac:dyDescent="0.25">
      <c r="A833" s="107"/>
      <c r="B833" s="8"/>
      <c r="C833" s="8"/>
      <c r="D833" s="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107"/>
      <c r="AK833" s="107"/>
      <c r="AL833" s="107"/>
      <c r="AM833" s="107"/>
      <c r="AN833" s="107"/>
      <c r="AO833" s="107"/>
      <c r="AP833" s="107"/>
      <c r="AQ833" s="107"/>
      <c r="AR833" s="5"/>
      <c r="AS833" s="5"/>
    </row>
    <row r="834" spans="1:45" ht="15.75" customHeight="1" x14ac:dyDescent="0.25">
      <c r="A834" s="107"/>
      <c r="B834" s="8"/>
      <c r="C834" s="8"/>
      <c r="D834" s="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107"/>
      <c r="AK834" s="107"/>
      <c r="AL834" s="107"/>
      <c r="AM834" s="107"/>
      <c r="AN834" s="107"/>
      <c r="AO834" s="107"/>
      <c r="AP834" s="107"/>
      <c r="AQ834" s="107"/>
      <c r="AR834" s="5"/>
      <c r="AS834" s="5"/>
    </row>
    <row r="835" spans="1:45" ht="15.75" customHeight="1" x14ac:dyDescent="0.25">
      <c r="A835" s="107"/>
      <c r="B835" s="8"/>
      <c r="C835" s="8"/>
      <c r="D835" s="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107"/>
      <c r="AK835" s="107"/>
      <c r="AL835" s="107"/>
      <c r="AM835" s="107"/>
      <c r="AN835" s="107"/>
      <c r="AO835" s="107"/>
      <c r="AP835" s="107"/>
      <c r="AQ835" s="107"/>
      <c r="AR835" s="5"/>
      <c r="AS835" s="5"/>
    </row>
    <row r="836" spans="1:45" ht="15.75" customHeight="1" x14ac:dyDescent="0.25">
      <c r="A836" s="107"/>
      <c r="B836" s="8"/>
      <c r="C836" s="8"/>
      <c r="D836" s="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107"/>
      <c r="AK836" s="107"/>
      <c r="AL836" s="107"/>
      <c r="AM836" s="107"/>
      <c r="AN836" s="107"/>
      <c r="AO836" s="107"/>
      <c r="AP836" s="107"/>
      <c r="AQ836" s="107"/>
      <c r="AR836" s="5"/>
      <c r="AS836" s="5"/>
    </row>
    <row r="837" spans="1:45" ht="15.75" customHeight="1" x14ac:dyDescent="0.25">
      <c r="A837" s="107"/>
      <c r="B837" s="8"/>
      <c r="C837" s="8"/>
      <c r="D837" s="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107"/>
      <c r="AK837" s="107"/>
      <c r="AL837" s="107"/>
      <c r="AM837" s="107"/>
      <c r="AN837" s="107"/>
      <c r="AO837" s="107"/>
      <c r="AP837" s="107"/>
      <c r="AQ837" s="107"/>
      <c r="AR837" s="5"/>
      <c r="AS837" s="5"/>
    </row>
    <row r="838" spans="1:45" ht="15.75" customHeight="1" x14ac:dyDescent="0.25">
      <c r="A838" s="107"/>
      <c r="B838" s="8"/>
      <c r="C838" s="8"/>
      <c r="D838" s="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107"/>
      <c r="AK838" s="107"/>
      <c r="AL838" s="107"/>
      <c r="AM838" s="107"/>
      <c r="AN838" s="107"/>
      <c r="AO838" s="107"/>
      <c r="AP838" s="107"/>
      <c r="AQ838" s="107"/>
      <c r="AR838" s="5"/>
      <c r="AS838" s="5"/>
    </row>
    <row r="839" spans="1:45" ht="15.75" customHeight="1" x14ac:dyDescent="0.25">
      <c r="A839" s="107"/>
      <c r="B839" s="8"/>
      <c r="C839" s="8"/>
      <c r="D839" s="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107"/>
      <c r="AK839" s="107"/>
      <c r="AL839" s="107"/>
      <c r="AM839" s="107"/>
      <c r="AN839" s="107"/>
      <c r="AO839" s="107"/>
      <c r="AP839" s="107"/>
      <c r="AQ839" s="107"/>
      <c r="AR839" s="5"/>
      <c r="AS839" s="5"/>
    </row>
    <row r="840" spans="1:45" ht="15.75" customHeight="1" x14ac:dyDescent="0.25">
      <c r="A840" s="107"/>
      <c r="B840" s="8"/>
      <c r="C840" s="8"/>
      <c r="D840" s="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107"/>
      <c r="AK840" s="107"/>
      <c r="AL840" s="107"/>
      <c r="AM840" s="107"/>
      <c r="AN840" s="107"/>
      <c r="AO840" s="107"/>
      <c r="AP840" s="107"/>
      <c r="AQ840" s="107"/>
      <c r="AR840" s="5"/>
      <c r="AS840" s="5"/>
    </row>
    <row r="841" spans="1:45" ht="15.75" customHeight="1" x14ac:dyDescent="0.25">
      <c r="A841" s="107"/>
      <c r="B841" s="8"/>
      <c r="C841" s="8"/>
      <c r="D841" s="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107"/>
      <c r="AK841" s="107"/>
      <c r="AL841" s="107"/>
      <c r="AM841" s="107"/>
      <c r="AN841" s="107"/>
      <c r="AO841" s="107"/>
      <c r="AP841" s="107"/>
      <c r="AQ841" s="107"/>
      <c r="AR841" s="5"/>
      <c r="AS841" s="5"/>
    </row>
    <row r="842" spans="1:45" ht="15.75" customHeight="1" x14ac:dyDescent="0.25">
      <c r="A842" s="107"/>
      <c r="B842" s="8"/>
      <c r="C842" s="8"/>
      <c r="D842" s="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107"/>
      <c r="AK842" s="107"/>
      <c r="AL842" s="107"/>
      <c r="AM842" s="107"/>
      <c r="AN842" s="107"/>
      <c r="AO842" s="107"/>
      <c r="AP842" s="107"/>
      <c r="AQ842" s="107"/>
      <c r="AR842" s="5"/>
      <c r="AS842" s="5"/>
    </row>
    <row r="843" spans="1:45" ht="15.75" customHeight="1" x14ac:dyDescent="0.25">
      <c r="A843" s="107"/>
      <c r="B843" s="8"/>
      <c r="C843" s="8"/>
      <c r="D843" s="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107"/>
      <c r="AK843" s="107"/>
      <c r="AL843" s="107"/>
      <c r="AM843" s="107"/>
      <c r="AN843" s="107"/>
      <c r="AO843" s="107"/>
      <c r="AP843" s="107"/>
      <c r="AQ843" s="107"/>
      <c r="AR843" s="5"/>
      <c r="AS843" s="5"/>
    </row>
    <row r="844" spans="1:45" ht="15.75" customHeight="1" x14ac:dyDescent="0.25">
      <c r="A844" s="107"/>
      <c r="B844" s="8"/>
      <c r="C844" s="8"/>
      <c r="D844" s="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107"/>
      <c r="AK844" s="107"/>
      <c r="AL844" s="107"/>
      <c r="AM844" s="107"/>
      <c r="AN844" s="107"/>
      <c r="AO844" s="107"/>
      <c r="AP844" s="107"/>
      <c r="AQ844" s="107"/>
      <c r="AR844" s="5"/>
      <c r="AS844" s="5"/>
    </row>
    <row r="845" spans="1:45" ht="15.75" customHeight="1" x14ac:dyDescent="0.25">
      <c r="A845" s="107"/>
      <c r="B845" s="8"/>
      <c r="C845" s="8"/>
      <c r="D845" s="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107"/>
      <c r="AK845" s="107"/>
      <c r="AL845" s="107"/>
      <c r="AM845" s="107"/>
      <c r="AN845" s="107"/>
      <c r="AO845" s="107"/>
      <c r="AP845" s="107"/>
      <c r="AQ845" s="107"/>
      <c r="AR845" s="5"/>
      <c r="AS845" s="5"/>
    </row>
    <row r="846" spans="1:45" ht="15.75" customHeight="1" x14ac:dyDescent="0.25">
      <c r="A846" s="107"/>
      <c r="B846" s="8"/>
      <c r="C846" s="8"/>
      <c r="D846" s="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107"/>
      <c r="AK846" s="107"/>
      <c r="AL846" s="107"/>
      <c r="AM846" s="107"/>
      <c r="AN846" s="107"/>
      <c r="AO846" s="107"/>
      <c r="AP846" s="107"/>
      <c r="AQ846" s="107"/>
      <c r="AR846" s="5"/>
      <c r="AS846" s="5"/>
    </row>
    <row r="847" spans="1:45" ht="15.75" customHeight="1" x14ac:dyDescent="0.25">
      <c r="A847" s="107"/>
      <c r="B847" s="8"/>
      <c r="C847" s="8"/>
      <c r="D847" s="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107"/>
      <c r="AK847" s="107"/>
      <c r="AL847" s="107"/>
      <c r="AM847" s="107"/>
      <c r="AN847" s="107"/>
      <c r="AO847" s="107"/>
      <c r="AP847" s="107"/>
      <c r="AQ847" s="107"/>
      <c r="AR847" s="5"/>
      <c r="AS847" s="5"/>
    </row>
    <row r="848" spans="1:45" ht="15.75" customHeight="1" x14ac:dyDescent="0.25">
      <c r="A848" s="107"/>
      <c r="B848" s="8"/>
      <c r="C848" s="8"/>
      <c r="D848" s="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107"/>
      <c r="AK848" s="107"/>
      <c r="AL848" s="107"/>
      <c r="AM848" s="107"/>
      <c r="AN848" s="107"/>
      <c r="AO848" s="107"/>
      <c r="AP848" s="107"/>
      <c r="AQ848" s="107"/>
      <c r="AR848" s="5"/>
      <c r="AS848" s="5"/>
    </row>
    <row r="849" spans="1:45" ht="15.75" customHeight="1" x14ac:dyDescent="0.25">
      <c r="A849" s="107"/>
      <c r="B849" s="8"/>
      <c r="C849" s="8"/>
      <c r="D849" s="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107"/>
      <c r="AK849" s="107"/>
      <c r="AL849" s="107"/>
      <c r="AM849" s="107"/>
      <c r="AN849" s="107"/>
      <c r="AO849" s="107"/>
      <c r="AP849" s="107"/>
      <c r="AQ849" s="107"/>
      <c r="AR849" s="5"/>
      <c r="AS849" s="5"/>
    </row>
    <row r="850" spans="1:45" ht="15.75" customHeight="1" x14ac:dyDescent="0.25">
      <c r="A850" s="107"/>
      <c r="B850" s="8"/>
      <c r="C850" s="8"/>
      <c r="D850" s="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107"/>
      <c r="AK850" s="107"/>
      <c r="AL850" s="107"/>
      <c r="AM850" s="107"/>
      <c r="AN850" s="107"/>
      <c r="AO850" s="107"/>
      <c r="AP850" s="107"/>
      <c r="AQ850" s="107"/>
      <c r="AR850" s="5"/>
      <c r="AS850" s="5"/>
    </row>
    <row r="851" spans="1:45" ht="15.75" customHeight="1" x14ac:dyDescent="0.25">
      <c r="A851" s="107"/>
      <c r="B851" s="8"/>
      <c r="C851" s="8"/>
      <c r="D851" s="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107"/>
      <c r="AK851" s="107"/>
      <c r="AL851" s="107"/>
      <c r="AM851" s="107"/>
      <c r="AN851" s="107"/>
      <c r="AO851" s="107"/>
      <c r="AP851" s="107"/>
      <c r="AQ851" s="107"/>
      <c r="AR851" s="5"/>
      <c r="AS851" s="5"/>
    </row>
    <row r="852" spans="1:45" ht="15.75" customHeight="1" x14ac:dyDescent="0.25">
      <c r="A852" s="107"/>
      <c r="B852" s="8"/>
      <c r="C852" s="8"/>
      <c r="D852" s="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107"/>
      <c r="AK852" s="107"/>
      <c r="AL852" s="107"/>
      <c r="AM852" s="107"/>
      <c r="AN852" s="107"/>
      <c r="AO852" s="107"/>
      <c r="AP852" s="107"/>
      <c r="AQ852" s="107"/>
      <c r="AR852" s="5"/>
      <c r="AS852" s="5"/>
    </row>
    <row r="853" spans="1:45" ht="15.75" customHeight="1" x14ac:dyDescent="0.25">
      <c r="A853" s="107"/>
      <c r="B853" s="8"/>
      <c r="C853" s="8"/>
      <c r="D853" s="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107"/>
      <c r="AK853" s="107"/>
      <c r="AL853" s="107"/>
      <c r="AM853" s="107"/>
      <c r="AN853" s="107"/>
      <c r="AO853" s="107"/>
      <c r="AP853" s="107"/>
      <c r="AQ853" s="107"/>
      <c r="AR853" s="5"/>
      <c r="AS853" s="5"/>
    </row>
    <row r="854" spans="1:45" ht="15.75" customHeight="1" x14ac:dyDescent="0.25">
      <c r="A854" s="107"/>
      <c r="B854" s="8"/>
      <c r="C854" s="8"/>
      <c r="D854" s="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107"/>
      <c r="AK854" s="107"/>
      <c r="AL854" s="107"/>
      <c r="AM854" s="107"/>
      <c r="AN854" s="107"/>
      <c r="AO854" s="107"/>
      <c r="AP854" s="107"/>
      <c r="AQ854" s="107"/>
      <c r="AR854" s="5"/>
      <c r="AS854" s="5"/>
    </row>
    <row r="855" spans="1:45" ht="15.75" customHeight="1" x14ac:dyDescent="0.25">
      <c r="A855" s="107"/>
      <c r="B855" s="8"/>
      <c r="C855" s="8"/>
      <c r="D855" s="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107"/>
      <c r="AK855" s="107"/>
      <c r="AL855" s="107"/>
      <c r="AM855" s="107"/>
      <c r="AN855" s="107"/>
      <c r="AO855" s="107"/>
      <c r="AP855" s="107"/>
      <c r="AQ855" s="107"/>
      <c r="AR855" s="5"/>
      <c r="AS855" s="5"/>
    </row>
    <row r="856" spans="1:45" ht="15.75" customHeight="1" x14ac:dyDescent="0.25">
      <c r="A856" s="107"/>
      <c r="B856" s="8"/>
      <c r="C856" s="8"/>
      <c r="D856" s="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107"/>
      <c r="AK856" s="107"/>
      <c r="AL856" s="107"/>
      <c r="AM856" s="107"/>
      <c r="AN856" s="107"/>
      <c r="AO856" s="107"/>
      <c r="AP856" s="107"/>
      <c r="AQ856" s="107"/>
      <c r="AR856" s="5"/>
      <c r="AS856" s="5"/>
    </row>
    <row r="857" spans="1:45" ht="15.75" customHeight="1" x14ac:dyDescent="0.25">
      <c r="A857" s="107"/>
      <c r="B857" s="8"/>
      <c r="C857" s="8"/>
      <c r="D857" s="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107"/>
      <c r="AK857" s="107"/>
      <c r="AL857" s="107"/>
      <c r="AM857" s="107"/>
      <c r="AN857" s="107"/>
      <c r="AO857" s="107"/>
      <c r="AP857" s="107"/>
      <c r="AQ857" s="107"/>
      <c r="AR857" s="5"/>
      <c r="AS857" s="5"/>
    </row>
    <row r="858" spans="1:45" ht="15.75" customHeight="1" x14ac:dyDescent="0.25">
      <c r="A858" s="107"/>
      <c r="B858" s="8"/>
      <c r="C858" s="8"/>
      <c r="D858" s="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107"/>
      <c r="AK858" s="107"/>
      <c r="AL858" s="107"/>
      <c r="AM858" s="107"/>
      <c r="AN858" s="107"/>
      <c r="AO858" s="107"/>
      <c r="AP858" s="107"/>
      <c r="AQ858" s="107"/>
      <c r="AR858" s="5"/>
      <c r="AS858" s="5"/>
    </row>
    <row r="859" spans="1:45" ht="15.75" customHeight="1" x14ac:dyDescent="0.25">
      <c r="A859" s="107"/>
      <c r="B859" s="8"/>
      <c r="C859" s="8"/>
      <c r="D859" s="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107"/>
      <c r="AK859" s="107"/>
      <c r="AL859" s="107"/>
      <c r="AM859" s="107"/>
      <c r="AN859" s="107"/>
      <c r="AO859" s="107"/>
      <c r="AP859" s="107"/>
      <c r="AQ859" s="107"/>
      <c r="AR859" s="5"/>
      <c r="AS859" s="5"/>
    </row>
    <row r="860" spans="1:45" ht="15.75" customHeight="1" x14ac:dyDescent="0.25">
      <c r="A860" s="107"/>
      <c r="B860" s="8"/>
      <c r="C860" s="8"/>
      <c r="D860" s="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107"/>
      <c r="AK860" s="107"/>
      <c r="AL860" s="107"/>
      <c r="AM860" s="107"/>
      <c r="AN860" s="107"/>
      <c r="AO860" s="107"/>
      <c r="AP860" s="107"/>
      <c r="AQ860" s="107"/>
      <c r="AR860" s="5"/>
      <c r="AS860" s="5"/>
    </row>
    <row r="861" spans="1:45" ht="15.75" customHeight="1" x14ac:dyDescent="0.25">
      <c r="A861" s="107"/>
      <c r="B861" s="8"/>
      <c r="C861" s="8"/>
      <c r="D861" s="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107"/>
      <c r="AK861" s="107"/>
      <c r="AL861" s="107"/>
      <c r="AM861" s="107"/>
      <c r="AN861" s="107"/>
      <c r="AO861" s="107"/>
      <c r="AP861" s="107"/>
      <c r="AQ861" s="107"/>
      <c r="AR861" s="5"/>
      <c r="AS861" s="5"/>
    </row>
    <row r="862" spans="1:45" ht="15.75" customHeight="1" x14ac:dyDescent="0.25">
      <c r="A862" s="107"/>
      <c r="B862" s="8"/>
      <c r="C862" s="8"/>
      <c r="D862" s="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107"/>
      <c r="AK862" s="107"/>
      <c r="AL862" s="107"/>
      <c r="AM862" s="107"/>
      <c r="AN862" s="107"/>
      <c r="AO862" s="107"/>
      <c r="AP862" s="107"/>
      <c r="AQ862" s="107"/>
      <c r="AR862" s="5"/>
      <c r="AS862" s="5"/>
    </row>
    <row r="863" spans="1:45" ht="15.75" customHeight="1" x14ac:dyDescent="0.25">
      <c r="A863" s="107"/>
      <c r="B863" s="8"/>
      <c r="C863" s="8"/>
      <c r="D863" s="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107"/>
      <c r="AK863" s="107"/>
      <c r="AL863" s="107"/>
      <c r="AM863" s="107"/>
      <c r="AN863" s="107"/>
      <c r="AO863" s="107"/>
      <c r="AP863" s="107"/>
      <c r="AQ863" s="107"/>
      <c r="AR863" s="5"/>
      <c r="AS863" s="5"/>
    </row>
    <row r="864" spans="1:45" ht="15.75" customHeight="1" x14ac:dyDescent="0.25">
      <c r="A864" s="107"/>
      <c r="B864" s="8"/>
      <c r="C864" s="8"/>
      <c r="D864" s="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107"/>
      <c r="AK864" s="107"/>
      <c r="AL864" s="107"/>
      <c r="AM864" s="107"/>
      <c r="AN864" s="107"/>
      <c r="AO864" s="107"/>
      <c r="AP864" s="107"/>
      <c r="AQ864" s="107"/>
      <c r="AR864" s="5"/>
      <c r="AS864" s="5"/>
    </row>
    <row r="865" spans="1:45" ht="15.75" customHeight="1" x14ac:dyDescent="0.25">
      <c r="A865" s="107"/>
      <c r="B865" s="8"/>
      <c r="C865" s="8"/>
      <c r="D865" s="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107"/>
      <c r="AK865" s="107"/>
      <c r="AL865" s="107"/>
      <c r="AM865" s="107"/>
      <c r="AN865" s="107"/>
      <c r="AO865" s="107"/>
      <c r="AP865" s="107"/>
      <c r="AQ865" s="107"/>
      <c r="AR865" s="5"/>
      <c r="AS865" s="5"/>
    </row>
    <row r="866" spans="1:45" ht="15.75" customHeight="1" x14ac:dyDescent="0.25">
      <c r="A866" s="107"/>
      <c r="B866" s="8"/>
      <c r="C866" s="8"/>
      <c r="D866" s="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107"/>
      <c r="AK866" s="107"/>
      <c r="AL866" s="107"/>
      <c r="AM866" s="107"/>
      <c r="AN866" s="107"/>
      <c r="AO866" s="107"/>
      <c r="AP866" s="107"/>
      <c r="AQ866" s="107"/>
      <c r="AR866" s="5"/>
      <c r="AS866" s="5"/>
    </row>
    <row r="867" spans="1:45" ht="15.75" customHeight="1" x14ac:dyDescent="0.25">
      <c r="A867" s="107"/>
      <c r="B867" s="8"/>
      <c r="C867" s="8"/>
      <c r="D867" s="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107"/>
      <c r="AK867" s="107"/>
      <c r="AL867" s="107"/>
      <c r="AM867" s="107"/>
      <c r="AN867" s="107"/>
      <c r="AO867" s="107"/>
      <c r="AP867" s="107"/>
      <c r="AQ867" s="107"/>
      <c r="AR867" s="5"/>
      <c r="AS867" s="5"/>
    </row>
    <row r="868" spans="1:45" ht="15.75" customHeight="1" x14ac:dyDescent="0.25">
      <c r="A868" s="107"/>
      <c r="B868" s="8"/>
      <c r="C868" s="8"/>
      <c r="D868" s="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107"/>
      <c r="AK868" s="107"/>
      <c r="AL868" s="107"/>
      <c r="AM868" s="107"/>
      <c r="AN868" s="107"/>
      <c r="AO868" s="107"/>
      <c r="AP868" s="107"/>
      <c r="AQ868" s="107"/>
      <c r="AR868" s="5"/>
      <c r="AS868" s="5"/>
    </row>
    <row r="869" spans="1:45" ht="15.75" customHeight="1" x14ac:dyDescent="0.25">
      <c r="A869" s="107"/>
      <c r="B869" s="8"/>
      <c r="C869" s="8"/>
      <c r="D869" s="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107"/>
      <c r="AK869" s="107"/>
      <c r="AL869" s="107"/>
      <c r="AM869" s="107"/>
      <c r="AN869" s="107"/>
      <c r="AO869" s="107"/>
      <c r="AP869" s="107"/>
      <c r="AQ869" s="107"/>
      <c r="AR869" s="5"/>
      <c r="AS869" s="5"/>
    </row>
    <row r="870" spans="1:45" ht="15.75" customHeight="1" x14ac:dyDescent="0.25">
      <c r="A870" s="107"/>
      <c r="B870" s="8"/>
      <c r="C870" s="8"/>
      <c r="D870" s="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107"/>
      <c r="AK870" s="107"/>
      <c r="AL870" s="107"/>
      <c r="AM870" s="107"/>
      <c r="AN870" s="107"/>
      <c r="AO870" s="107"/>
      <c r="AP870" s="107"/>
      <c r="AQ870" s="107"/>
      <c r="AR870" s="5"/>
      <c r="AS870" s="5"/>
    </row>
    <row r="871" spans="1:45" ht="15.75" customHeight="1" x14ac:dyDescent="0.25">
      <c r="A871" s="107"/>
      <c r="B871" s="8"/>
      <c r="C871" s="8"/>
      <c r="D871" s="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107"/>
      <c r="AK871" s="107"/>
      <c r="AL871" s="107"/>
      <c r="AM871" s="107"/>
      <c r="AN871" s="107"/>
      <c r="AO871" s="107"/>
      <c r="AP871" s="107"/>
      <c r="AQ871" s="107"/>
      <c r="AR871" s="5"/>
      <c r="AS871" s="5"/>
    </row>
    <row r="872" spans="1:45" ht="15.75" customHeight="1" x14ac:dyDescent="0.25">
      <c r="A872" s="107"/>
      <c r="B872" s="8"/>
      <c r="C872" s="8"/>
      <c r="D872" s="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107"/>
      <c r="AK872" s="107"/>
      <c r="AL872" s="107"/>
      <c r="AM872" s="107"/>
      <c r="AN872" s="107"/>
      <c r="AO872" s="107"/>
      <c r="AP872" s="107"/>
      <c r="AQ872" s="107"/>
      <c r="AR872" s="5"/>
      <c r="AS872" s="5"/>
    </row>
    <row r="873" spans="1:45" ht="15.75" customHeight="1" x14ac:dyDescent="0.25">
      <c r="A873" s="107"/>
      <c r="B873" s="8"/>
      <c r="C873" s="8"/>
      <c r="D873" s="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107"/>
      <c r="AK873" s="107"/>
      <c r="AL873" s="107"/>
      <c r="AM873" s="107"/>
      <c r="AN873" s="107"/>
      <c r="AO873" s="107"/>
      <c r="AP873" s="107"/>
      <c r="AQ873" s="107"/>
      <c r="AR873" s="5"/>
      <c r="AS873" s="5"/>
    </row>
    <row r="874" spans="1:45" ht="15.75" customHeight="1" x14ac:dyDescent="0.25">
      <c r="A874" s="107"/>
      <c r="B874" s="8"/>
      <c r="C874" s="8"/>
      <c r="D874" s="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107"/>
      <c r="AK874" s="107"/>
      <c r="AL874" s="107"/>
      <c r="AM874" s="107"/>
      <c r="AN874" s="107"/>
      <c r="AO874" s="107"/>
      <c r="AP874" s="107"/>
      <c r="AQ874" s="107"/>
      <c r="AR874" s="5"/>
      <c r="AS874" s="5"/>
    </row>
    <row r="875" spans="1:45" ht="15.75" customHeight="1" x14ac:dyDescent="0.25">
      <c r="A875" s="107"/>
      <c r="B875" s="8"/>
      <c r="C875" s="8"/>
      <c r="D875" s="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107"/>
      <c r="AK875" s="107"/>
      <c r="AL875" s="107"/>
      <c r="AM875" s="107"/>
      <c r="AN875" s="107"/>
      <c r="AO875" s="107"/>
      <c r="AP875" s="107"/>
      <c r="AQ875" s="107"/>
      <c r="AR875" s="5"/>
      <c r="AS875" s="5"/>
    </row>
    <row r="876" spans="1:45" ht="15.75" customHeight="1" x14ac:dyDescent="0.25">
      <c r="A876" s="107"/>
      <c r="B876" s="8"/>
      <c r="C876" s="8"/>
      <c r="D876" s="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107"/>
      <c r="AK876" s="107"/>
      <c r="AL876" s="107"/>
      <c r="AM876" s="107"/>
      <c r="AN876" s="107"/>
      <c r="AO876" s="107"/>
      <c r="AP876" s="107"/>
      <c r="AQ876" s="107"/>
      <c r="AR876" s="5"/>
      <c r="AS876" s="5"/>
    </row>
    <row r="877" spans="1:45" ht="15.75" customHeight="1" x14ac:dyDescent="0.25">
      <c r="A877" s="107"/>
      <c r="B877" s="8"/>
      <c r="C877" s="8"/>
      <c r="D877" s="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107"/>
      <c r="AK877" s="107"/>
      <c r="AL877" s="107"/>
      <c r="AM877" s="107"/>
      <c r="AN877" s="107"/>
      <c r="AO877" s="107"/>
      <c r="AP877" s="107"/>
      <c r="AQ877" s="107"/>
      <c r="AR877" s="5"/>
      <c r="AS877" s="5"/>
    </row>
    <row r="878" spans="1:45" ht="15.75" customHeight="1" x14ac:dyDescent="0.25">
      <c r="A878" s="107"/>
      <c r="B878" s="8"/>
      <c r="C878" s="8"/>
      <c r="D878" s="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107"/>
      <c r="AK878" s="107"/>
      <c r="AL878" s="107"/>
      <c r="AM878" s="107"/>
      <c r="AN878" s="107"/>
      <c r="AO878" s="107"/>
      <c r="AP878" s="107"/>
      <c r="AQ878" s="107"/>
      <c r="AR878" s="5"/>
      <c r="AS878" s="5"/>
    </row>
    <row r="879" spans="1:45" ht="15.75" customHeight="1" x14ac:dyDescent="0.25">
      <c r="A879" s="107"/>
      <c r="B879" s="8"/>
      <c r="C879" s="8"/>
      <c r="D879" s="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107"/>
      <c r="AK879" s="107"/>
      <c r="AL879" s="107"/>
      <c r="AM879" s="107"/>
      <c r="AN879" s="107"/>
      <c r="AO879" s="107"/>
      <c r="AP879" s="107"/>
      <c r="AQ879" s="107"/>
      <c r="AR879" s="5"/>
      <c r="AS879" s="5"/>
    </row>
    <row r="880" spans="1:45" ht="15.75" customHeight="1" x14ac:dyDescent="0.25">
      <c r="A880" s="107"/>
      <c r="B880" s="8"/>
      <c r="C880" s="8"/>
      <c r="D880" s="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107"/>
      <c r="AK880" s="107"/>
      <c r="AL880" s="107"/>
      <c r="AM880" s="107"/>
      <c r="AN880" s="107"/>
      <c r="AO880" s="107"/>
      <c r="AP880" s="107"/>
      <c r="AQ880" s="107"/>
      <c r="AR880" s="5"/>
      <c r="AS880" s="5"/>
    </row>
    <row r="881" spans="1:45" ht="15.75" customHeight="1" x14ac:dyDescent="0.25">
      <c r="A881" s="107"/>
      <c r="B881" s="8"/>
      <c r="C881" s="8"/>
      <c r="D881" s="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107"/>
      <c r="AK881" s="107"/>
      <c r="AL881" s="107"/>
      <c r="AM881" s="107"/>
      <c r="AN881" s="107"/>
      <c r="AO881" s="107"/>
      <c r="AP881" s="107"/>
      <c r="AQ881" s="107"/>
      <c r="AR881" s="5"/>
      <c r="AS881" s="5"/>
    </row>
    <row r="882" spans="1:45" ht="15.75" customHeight="1" x14ac:dyDescent="0.25">
      <c r="A882" s="107"/>
      <c r="B882" s="8"/>
      <c r="C882" s="8"/>
      <c r="D882" s="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107"/>
      <c r="AK882" s="107"/>
      <c r="AL882" s="107"/>
      <c r="AM882" s="107"/>
      <c r="AN882" s="107"/>
      <c r="AO882" s="107"/>
      <c r="AP882" s="107"/>
      <c r="AQ882" s="107"/>
      <c r="AR882" s="5"/>
      <c r="AS882" s="5"/>
    </row>
    <row r="883" spans="1:45" ht="15.75" customHeight="1" x14ac:dyDescent="0.25">
      <c r="A883" s="107"/>
      <c r="B883" s="8"/>
      <c r="C883" s="8"/>
      <c r="D883" s="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107"/>
      <c r="AK883" s="107"/>
      <c r="AL883" s="107"/>
      <c r="AM883" s="107"/>
      <c r="AN883" s="107"/>
      <c r="AO883" s="107"/>
      <c r="AP883" s="107"/>
      <c r="AQ883" s="107"/>
      <c r="AR883" s="5"/>
      <c r="AS883" s="5"/>
    </row>
    <row r="884" spans="1:45" ht="15.75" customHeight="1" x14ac:dyDescent="0.25">
      <c r="A884" s="107"/>
      <c r="B884" s="8"/>
      <c r="C884" s="8"/>
      <c r="D884" s="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107"/>
      <c r="AK884" s="107"/>
      <c r="AL884" s="107"/>
      <c r="AM884" s="107"/>
      <c r="AN884" s="107"/>
      <c r="AO884" s="107"/>
      <c r="AP884" s="107"/>
      <c r="AQ884" s="107"/>
      <c r="AR884" s="5"/>
      <c r="AS884" s="5"/>
    </row>
    <row r="885" spans="1:45" ht="15.75" customHeight="1" x14ac:dyDescent="0.25">
      <c r="A885" s="107"/>
      <c r="B885" s="8"/>
      <c r="C885" s="8"/>
      <c r="D885" s="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107"/>
      <c r="AK885" s="107"/>
      <c r="AL885" s="107"/>
      <c r="AM885" s="107"/>
      <c r="AN885" s="107"/>
      <c r="AO885" s="107"/>
      <c r="AP885" s="107"/>
      <c r="AQ885" s="107"/>
      <c r="AR885" s="5"/>
      <c r="AS885" s="5"/>
    </row>
    <row r="886" spans="1:45" ht="15.75" customHeight="1" x14ac:dyDescent="0.25">
      <c r="A886" s="107"/>
      <c r="B886" s="8"/>
      <c r="C886" s="8"/>
      <c r="D886" s="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107"/>
      <c r="AK886" s="107"/>
      <c r="AL886" s="107"/>
      <c r="AM886" s="107"/>
      <c r="AN886" s="107"/>
      <c r="AO886" s="107"/>
      <c r="AP886" s="107"/>
      <c r="AQ886" s="107"/>
      <c r="AR886" s="5"/>
      <c r="AS886" s="5"/>
    </row>
    <row r="887" spans="1:45" ht="15.75" customHeight="1" x14ac:dyDescent="0.25">
      <c r="A887" s="107"/>
      <c r="B887" s="8"/>
      <c r="C887" s="8"/>
      <c r="D887" s="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107"/>
      <c r="AK887" s="107"/>
      <c r="AL887" s="107"/>
      <c r="AM887" s="107"/>
      <c r="AN887" s="107"/>
      <c r="AO887" s="107"/>
      <c r="AP887" s="107"/>
      <c r="AQ887" s="107"/>
      <c r="AR887" s="5"/>
      <c r="AS887" s="5"/>
    </row>
    <row r="888" spans="1:45" ht="15.75" customHeight="1" x14ac:dyDescent="0.25">
      <c r="A888" s="107"/>
      <c r="B888" s="8"/>
      <c r="C888" s="8"/>
      <c r="D888" s="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107"/>
      <c r="AK888" s="107"/>
      <c r="AL888" s="107"/>
      <c r="AM888" s="107"/>
      <c r="AN888" s="107"/>
      <c r="AO888" s="107"/>
      <c r="AP888" s="107"/>
      <c r="AQ888" s="107"/>
      <c r="AR888" s="5"/>
      <c r="AS888" s="5"/>
    </row>
    <row r="889" spans="1:45" ht="15.75" customHeight="1" x14ac:dyDescent="0.25">
      <c r="A889" s="107"/>
      <c r="B889" s="8"/>
      <c r="C889" s="8"/>
      <c r="D889" s="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107"/>
      <c r="AK889" s="107"/>
      <c r="AL889" s="107"/>
      <c r="AM889" s="107"/>
      <c r="AN889" s="107"/>
      <c r="AO889" s="107"/>
      <c r="AP889" s="107"/>
      <c r="AQ889" s="107"/>
      <c r="AR889" s="5"/>
      <c r="AS889" s="5"/>
    </row>
    <row r="890" spans="1:45" ht="15.75" customHeight="1" x14ac:dyDescent="0.25">
      <c r="A890" s="107"/>
      <c r="B890" s="8"/>
      <c r="C890" s="8"/>
      <c r="D890" s="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107"/>
      <c r="AK890" s="107"/>
      <c r="AL890" s="107"/>
      <c r="AM890" s="107"/>
      <c r="AN890" s="107"/>
      <c r="AO890" s="107"/>
      <c r="AP890" s="107"/>
      <c r="AQ890" s="107"/>
      <c r="AR890" s="5"/>
      <c r="AS890" s="5"/>
    </row>
    <row r="891" spans="1:45" ht="15.75" customHeight="1" x14ac:dyDescent="0.25">
      <c r="A891" s="107"/>
      <c r="B891" s="8"/>
      <c r="C891" s="8"/>
      <c r="D891" s="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107"/>
      <c r="AK891" s="107"/>
      <c r="AL891" s="107"/>
      <c r="AM891" s="107"/>
      <c r="AN891" s="107"/>
      <c r="AO891" s="107"/>
      <c r="AP891" s="107"/>
      <c r="AQ891" s="107"/>
      <c r="AR891" s="5"/>
      <c r="AS891" s="5"/>
    </row>
    <row r="892" spans="1:45" ht="15.75" customHeight="1" x14ac:dyDescent="0.25">
      <c r="A892" s="107"/>
      <c r="B892" s="8"/>
      <c r="C892" s="8"/>
      <c r="D892" s="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107"/>
      <c r="AK892" s="107"/>
      <c r="AL892" s="107"/>
      <c r="AM892" s="107"/>
      <c r="AN892" s="107"/>
      <c r="AO892" s="107"/>
      <c r="AP892" s="107"/>
      <c r="AQ892" s="107"/>
      <c r="AR892" s="5"/>
      <c r="AS892" s="5"/>
    </row>
    <row r="893" spans="1:45" ht="15.75" customHeight="1" x14ac:dyDescent="0.25">
      <c r="A893" s="107"/>
      <c r="B893" s="8"/>
      <c r="C893" s="8"/>
      <c r="D893" s="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107"/>
      <c r="AK893" s="107"/>
      <c r="AL893" s="107"/>
      <c r="AM893" s="107"/>
      <c r="AN893" s="107"/>
      <c r="AO893" s="107"/>
      <c r="AP893" s="107"/>
      <c r="AQ893" s="107"/>
      <c r="AR893" s="5"/>
      <c r="AS893" s="5"/>
    </row>
    <row r="894" spans="1:45" ht="15.75" customHeight="1" x14ac:dyDescent="0.25">
      <c r="A894" s="107"/>
      <c r="B894" s="8"/>
      <c r="C894" s="8"/>
      <c r="D894" s="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107"/>
      <c r="AK894" s="107"/>
      <c r="AL894" s="107"/>
      <c r="AM894" s="107"/>
      <c r="AN894" s="107"/>
      <c r="AO894" s="107"/>
      <c r="AP894" s="107"/>
      <c r="AQ894" s="107"/>
      <c r="AR894" s="5"/>
      <c r="AS894" s="5"/>
    </row>
    <row r="895" spans="1:45" ht="15.75" customHeight="1" x14ac:dyDescent="0.25">
      <c r="A895" s="107"/>
      <c r="B895" s="8"/>
      <c r="C895" s="8"/>
      <c r="D895" s="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107"/>
      <c r="AK895" s="107"/>
      <c r="AL895" s="107"/>
      <c r="AM895" s="107"/>
      <c r="AN895" s="107"/>
      <c r="AO895" s="107"/>
      <c r="AP895" s="107"/>
      <c r="AQ895" s="107"/>
      <c r="AR895" s="5"/>
      <c r="AS895" s="5"/>
    </row>
    <row r="896" spans="1:45" ht="15.75" customHeight="1" x14ac:dyDescent="0.25">
      <c r="A896" s="107"/>
      <c r="B896" s="8"/>
      <c r="C896" s="8"/>
      <c r="D896" s="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107"/>
      <c r="AK896" s="107"/>
      <c r="AL896" s="107"/>
      <c r="AM896" s="107"/>
      <c r="AN896" s="107"/>
      <c r="AO896" s="107"/>
      <c r="AP896" s="107"/>
      <c r="AQ896" s="107"/>
      <c r="AR896" s="5"/>
      <c r="AS896" s="5"/>
    </row>
    <row r="897" spans="1:45" ht="15.75" customHeight="1" x14ac:dyDescent="0.25">
      <c r="A897" s="107"/>
      <c r="B897" s="8"/>
      <c r="C897" s="8"/>
      <c r="D897" s="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107"/>
      <c r="AK897" s="107"/>
      <c r="AL897" s="107"/>
      <c r="AM897" s="107"/>
      <c r="AN897" s="107"/>
      <c r="AO897" s="107"/>
      <c r="AP897" s="107"/>
      <c r="AQ897" s="107"/>
      <c r="AR897" s="5"/>
      <c r="AS897" s="5"/>
    </row>
    <row r="898" spans="1:45" ht="15.75" customHeight="1" x14ac:dyDescent="0.25">
      <c r="A898" s="107"/>
      <c r="B898" s="8"/>
      <c r="C898" s="8"/>
      <c r="D898" s="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107"/>
      <c r="AK898" s="107"/>
      <c r="AL898" s="107"/>
      <c r="AM898" s="107"/>
      <c r="AN898" s="107"/>
      <c r="AO898" s="107"/>
      <c r="AP898" s="107"/>
      <c r="AQ898" s="107"/>
      <c r="AR898" s="5"/>
      <c r="AS898" s="5"/>
    </row>
    <row r="899" spans="1:45" ht="15.75" customHeight="1" x14ac:dyDescent="0.25">
      <c r="A899" s="107"/>
      <c r="B899" s="8"/>
      <c r="C899" s="8"/>
      <c r="D899" s="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107"/>
      <c r="AK899" s="107"/>
      <c r="AL899" s="107"/>
      <c r="AM899" s="107"/>
      <c r="AN899" s="107"/>
      <c r="AO899" s="107"/>
      <c r="AP899" s="107"/>
      <c r="AQ899" s="107"/>
      <c r="AR899" s="5"/>
      <c r="AS899" s="5"/>
    </row>
    <row r="900" spans="1:45" ht="15.75" customHeight="1" x14ac:dyDescent="0.25">
      <c r="A900" s="107"/>
      <c r="B900" s="8"/>
      <c r="C900" s="8"/>
      <c r="D900" s="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107"/>
      <c r="AK900" s="107"/>
      <c r="AL900" s="107"/>
      <c r="AM900" s="107"/>
      <c r="AN900" s="107"/>
      <c r="AO900" s="107"/>
      <c r="AP900" s="107"/>
      <c r="AQ900" s="107"/>
      <c r="AR900" s="5"/>
      <c r="AS900" s="5"/>
    </row>
    <row r="901" spans="1:45" ht="15.75" customHeight="1" x14ac:dyDescent="0.25">
      <c r="A901" s="107"/>
      <c r="B901" s="8"/>
      <c r="C901" s="8"/>
      <c r="D901" s="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107"/>
      <c r="AK901" s="107"/>
      <c r="AL901" s="107"/>
      <c r="AM901" s="107"/>
      <c r="AN901" s="107"/>
      <c r="AO901" s="107"/>
      <c r="AP901" s="107"/>
      <c r="AQ901" s="107"/>
      <c r="AR901" s="5"/>
      <c r="AS901" s="5"/>
    </row>
    <row r="902" spans="1:45" ht="15.75" customHeight="1" x14ac:dyDescent="0.25">
      <c r="A902" s="107"/>
      <c r="B902" s="8"/>
      <c r="C902" s="8"/>
      <c r="D902" s="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107"/>
      <c r="AK902" s="107"/>
      <c r="AL902" s="107"/>
      <c r="AM902" s="107"/>
      <c r="AN902" s="107"/>
      <c r="AO902" s="107"/>
      <c r="AP902" s="107"/>
      <c r="AQ902" s="107"/>
      <c r="AR902" s="5"/>
      <c r="AS902" s="5"/>
    </row>
    <row r="903" spans="1:45" ht="15.75" customHeight="1" x14ac:dyDescent="0.25">
      <c r="A903" s="107"/>
      <c r="B903" s="8"/>
      <c r="C903" s="8"/>
      <c r="D903" s="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107"/>
      <c r="AK903" s="107"/>
      <c r="AL903" s="107"/>
      <c r="AM903" s="107"/>
      <c r="AN903" s="107"/>
      <c r="AO903" s="107"/>
      <c r="AP903" s="107"/>
      <c r="AQ903" s="107"/>
      <c r="AR903" s="5"/>
      <c r="AS903" s="5"/>
    </row>
    <row r="904" spans="1:45" ht="15.75" customHeight="1" x14ac:dyDescent="0.25">
      <c r="A904" s="107"/>
      <c r="B904" s="8"/>
      <c r="C904" s="8"/>
      <c r="D904" s="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107"/>
      <c r="AK904" s="107"/>
      <c r="AL904" s="107"/>
      <c r="AM904" s="107"/>
      <c r="AN904" s="107"/>
      <c r="AO904" s="107"/>
      <c r="AP904" s="107"/>
      <c r="AQ904" s="107"/>
      <c r="AR904" s="5"/>
      <c r="AS904" s="5"/>
    </row>
    <row r="905" spans="1:45" ht="15.75" customHeight="1" x14ac:dyDescent="0.25">
      <c r="A905" s="107"/>
      <c r="B905" s="8"/>
      <c r="C905" s="8"/>
      <c r="D905" s="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107"/>
      <c r="AK905" s="107"/>
      <c r="AL905" s="107"/>
      <c r="AM905" s="107"/>
      <c r="AN905" s="107"/>
      <c r="AO905" s="107"/>
      <c r="AP905" s="107"/>
      <c r="AQ905" s="107"/>
      <c r="AR905" s="5"/>
      <c r="AS905" s="5"/>
    </row>
    <row r="906" spans="1:45" ht="15.75" customHeight="1" x14ac:dyDescent="0.25">
      <c r="A906" s="107"/>
      <c r="B906" s="8"/>
      <c r="C906" s="8"/>
      <c r="D906" s="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107"/>
      <c r="AK906" s="107"/>
      <c r="AL906" s="107"/>
      <c r="AM906" s="107"/>
      <c r="AN906" s="107"/>
      <c r="AO906" s="107"/>
      <c r="AP906" s="107"/>
      <c r="AQ906" s="107"/>
      <c r="AR906" s="5"/>
      <c r="AS906" s="5"/>
    </row>
    <row r="907" spans="1:45" ht="15.75" customHeight="1" x14ac:dyDescent="0.25">
      <c r="A907" s="107"/>
      <c r="B907" s="8"/>
      <c r="C907" s="8"/>
      <c r="D907" s="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107"/>
      <c r="AK907" s="107"/>
      <c r="AL907" s="107"/>
      <c r="AM907" s="107"/>
      <c r="AN907" s="107"/>
      <c r="AO907" s="107"/>
      <c r="AP907" s="107"/>
      <c r="AQ907" s="107"/>
      <c r="AR907" s="5"/>
      <c r="AS907" s="5"/>
    </row>
    <row r="908" spans="1:45" ht="15.75" customHeight="1" x14ac:dyDescent="0.25">
      <c r="A908" s="107"/>
      <c r="B908" s="8"/>
      <c r="C908" s="8"/>
      <c r="D908" s="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107"/>
      <c r="AK908" s="107"/>
      <c r="AL908" s="107"/>
      <c r="AM908" s="107"/>
      <c r="AN908" s="107"/>
      <c r="AO908" s="107"/>
      <c r="AP908" s="107"/>
      <c r="AQ908" s="107"/>
      <c r="AR908" s="5"/>
      <c r="AS908" s="5"/>
    </row>
    <row r="909" spans="1:45" ht="15.75" customHeight="1" x14ac:dyDescent="0.25">
      <c r="A909" s="107"/>
      <c r="B909" s="8"/>
      <c r="C909" s="8"/>
      <c r="D909" s="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107"/>
      <c r="AK909" s="107"/>
      <c r="AL909" s="107"/>
      <c r="AM909" s="107"/>
      <c r="AN909" s="107"/>
      <c r="AO909" s="107"/>
      <c r="AP909" s="107"/>
      <c r="AQ909" s="107"/>
      <c r="AR909" s="5"/>
      <c r="AS909" s="5"/>
    </row>
    <row r="910" spans="1:45" ht="15.75" customHeight="1" x14ac:dyDescent="0.25">
      <c r="A910" s="107"/>
      <c r="B910" s="8"/>
      <c r="C910" s="8"/>
      <c r="D910" s="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107"/>
      <c r="AK910" s="107"/>
      <c r="AL910" s="107"/>
      <c r="AM910" s="107"/>
      <c r="AN910" s="107"/>
      <c r="AO910" s="107"/>
      <c r="AP910" s="107"/>
      <c r="AQ910" s="107"/>
      <c r="AR910" s="5"/>
      <c r="AS910" s="5"/>
    </row>
    <row r="911" spans="1:45" ht="15.75" customHeight="1" x14ac:dyDescent="0.25">
      <c r="A911" s="107"/>
      <c r="B911" s="8"/>
      <c r="C911" s="8"/>
      <c r="D911" s="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107"/>
      <c r="AK911" s="107"/>
      <c r="AL911" s="107"/>
      <c r="AM911" s="107"/>
      <c r="AN911" s="107"/>
      <c r="AO911" s="107"/>
      <c r="AP911" s="107"/>
      <c r="AQ911" s="107"/>
      <c r="AR911" s="5"/>
      <c r="AS911" s="5"/>
    </row>
    <row r="912" spans="1:45" ht="15.75" customHeight="1" x14ac:dyDescent="0.25">
      <c r="A912" s="107"/>
      <c r="B912" s="8"/>
      <c r="C912" s="8"/>
      <c r="D912" s="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107"/>
      <c r="AK912" s="107"/>
      <c r="AL912" s="107"/>
      <c r="AM912" s="107"/>
      <c r="AN912" s="107"/>
      <c r="AO912" s="107"/>
      <c r="AP912" s="107"/>
      <c r="AQ912" s="107"/>
      <c r="AR912" s="5"/>
      <c r="AS912" s="5"/>
    </row>
    <row r="913" spans="1:45" ht="15.75" customHeight="1" x14ac:dyDescent="0.25">
      <c r="A913" s="107"/>
      <c r="B913" s="8"/>
      <c r="C913" s="8"/>
      <c r="D913" s="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107"/>
      <c r="AK913" s="107"/>
      <c r="AL913" s="107"/>
      <c r="AM913" s="107"/>
      <c r="AN913" s="107"/>
      <c r="AO913" s="107"/>
      <c r="AP913" s="107"/>
      <c r="AQ913" s="107"/>
      <c r="AR913" s="5"/>
      <c r="AS913" s="5"/>
    </row>
    <row r="914" spans="1:45" ht="15.75" customHeight="1" x14ac:dyDescent="0.25">
      <c r="A914" s="107"/>
      <c r="B914" s="8"/>
      <c r="C914" s="8"/>
      <c r="D914" s="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107"/>
      <c r="AK914" s="107"/>
      <c r="AL914" s="107"/>
      <c r="AM914" s="107"/>
      <c r="AN914" s="107"/>
      <c r="AO914" s="107"/>
      <c r="AP914" s="107"/>
      <c r="AQ914" s="107"/>
      <c r="AR914" s="5"/>
      <c r="AS914" s="5"/>
    </row>
    <row r="915" spans="1:45" ht="15.75" customHeight="1" x14ac:dyDescent="0.25">
      <c r="A915" s="107"/>
      <c r="B915" s="8"/>
      <c r="C915" s="8"/>
      <c r="D915" s="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107"/>
      <c r="AK915" s="107"/>
      <c r="AL915" s="107"/>
      <c r="AM915" s="107"/>
      <c r="AN915" s="107"/>
      <c r="AO915" s="107"/>
      <c r="AP915" s="107"/>
      <c r="AQ915" s="107"/>
      <c r="AR915" s="5"/>
      <c r="AS915" s="5"/>
    </row>
    <row r="916" spans="1:45" ht="15.75" customHeight="1" x14ac:dyDescent="0.25">
      <c r="A916" s="107"/>
      <c r="B916" s="8"/>
      <c r="C916" s="8"/>
      <c r="D916" s="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107"/>
      <c r="AK916" s="107"/>
      <c r="AL916" s="107"/>
      <c r="AM916" s="107"/>
      <c r="AN916" s="107"/>
      <c r="AO916" s="107"/>
      <c r="AP916" s="107"/>
      <c r="AQ916" s="107"/>
      <c r="AR916" s="5"/>
      <c r="AS916" s="5"/>
    </row>
    <row r="917" spans="1:45" ht="15.75" customHeight="1" x14ac:dyDescent="0.25">
      <c r="A917" s="107"/>
      <c r="B917" s="8"/>
      <c r="C917" s="8"/>
      <c r="D917" s="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107"/>
      <c r="AK917" s="107"/>
      <c r="AL917" s="107"/>
      <c r="AM917" s="107"/>
      <c r="AN917" s="107"/>
      <c r="AO917" s="107"/>
      <c r="AP917" s="107"/>
      <c r="AQ917" s="107"/>
      <c r="AR917" s="5"/>
      <c r="AS917" s="5"/>
    </row>
    <row r="918" spans="1:45" ht="15.75" customHeight="1" x14ac:dyDescent="0.25">
      <c r="A918" s="107"/>
      <c r="B918" s="8"/>
      <c r="C918" s="8"/>
      <c r="D918" s="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107"/>
      <c r="AK918" s="107"/>
      <c r="AL918" s="107"/>
      <c r="AM918" s="107"/>
      <c r="AN918" s="107"/>
      <c r="AO918" s="107"/>
      <c r="AP918" s="107"/>
      <c r="AQ918" s="107"/>
      <c r="AR918" s="5"/>
      <c r="AS918" s="5"/>
    </row>
    <row r="919" spans="1:45" ht="15.75" customHeight="1" x14ac:dyDescent="0.25">
      <c r="A919" s="107"/>
      <c r="B919" s="8"/>
      <c r="C919" s="8"/>
      <c r="D919" s="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107"/>
      <c r="AK919" s="107"/>
      <c r="AL919" s="107"/>
      <c r="AM919" s="107"/>
      <c r="AN919" s="107"/>
      <c r="AO919" s="107"/>
      <c r="AP919" s="107"/>
      <c r="AQ919" s="107"/>
      <c r="AR919" s="5"/>
      <c r="AS919" s="5"/>
    </row>
    <row r="920" spans="1:45" ht="15.75" customHeight="1" x14ac:dyDescent="0.25">
      <c r="A920" s="107"/>
      <c r="B920" s="8"/>
      <c r="C920" s="8"/>
      <c r="D920" s="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107"/>
      <c r="AK920" s="107"/>
      <c r="AL920" s="107"/>
      <c r="AM920" s="107"/>
      <c r="AN920" s="107"/>
      <c r="AO920" s="107"/>
      <c r="AP920" s="107"/>
      <c r="AQ920" s="107"/>
      <c r="AR920" s="5"/>
      <c r="AS920" s="5"/>
    </row>
    <row r="921" spans="1:45" ht="15.75" customHeight="1" x14ac:dyDescent="0.25">
      <c r="A921" s="107"/>
      <c r="B921" s="8"/>
      <c r="C921" s="8"/>
      <c r="D921" s="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107"/>
      <c r="AK921" s="107"/>
      <c r="AL921" s="107"/>
      <c r="AM921" s="107"/>
      <c r="AN921" s="107"/>
      <c r="AO921" s="107"/>
      <c r="AP921" s="107"/>
      <c r="AQ921" s="107"/>
      <c r="AR921" s="5"/>
      <c r="AS921" s="5"/>
    </row>
    <row r="922" spans="1:45" ht="15.75" customHeight="1" x14ac:dyDescent="0.25">
      <c r="A922" s="107"/>
      <c r="B922" s="8"/>
      <c r="C922" s="8"/>
      <c r="D922" s="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107"/>
      <c r="AK922" s="107"/>
      <c r="AL922" s="107"/>
      <c r="AM922" s="107"/>
      <c r="AN922" s="107"/>
      <c r="AO922" s="107"/>
      <c r="AP922" s="107"/>
      <c r="AQ922" s="107"/>
      <c r="AR922" s="5"/>
      <c r="AS922" s="5"/>
    </row>
    <row r="923" spans="1:45" ht="15.75" customHeight="1" x14ac:dyDescent="0.25">
      <c r="A923" s="107"/>
      <c r="B923" s="8"/>
      <c r="C923" s="8"/>
      <c r="D923" s="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107"/>
      <c r="AK923" s="107"/>
      <c r="AL923" s="107"/>
      <c r="AM923" s="107"/>
      <c r="AN923" s="107"/>
      <c r="AO923" s="107"/>
      <c r="AP923" s="107"/>
      <c r="AQ923" s="107"/>
      <c r="AR923" s="5"/>
      <c r="AS923" s="5"/>
    </row>
    <row r="924" spans="1:45" ht="15.75" customHeight="1" x14ac:dyDescent="0.25">
      <c r="A924" s="107"/>
      <c r="B924" s="8"/>
      <c r="C924" s="8"/>
      <c r="D924" s="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107"/>
      <c r="AK924" s="107"/>
      <c r="AL924" s="107"/>
      <c r="AM924" s="107"/>
      <c r="AN924" s="107"/>
      <c r="AO924" s="107"/>
      <c r="AP924" s="107"/>
      <c r="AQ924" s="107"/>
      <c r="AR924" s="5"/>
      <c r="AS924" s="5"/>
    </row>
    <row r="925" spans="1:45" ht="15.75" customHeight="1" x14ac:dyDescent="0.25">
      <c r="A925" s="107"/>
      <c r="B925" s="8"/>
      <c r="C925" s="8"/>
      <c r="D925" s="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107"/>
      <c r="AK925" s="107"/>
      <c r="AL925" s="107"/>
      <c r="AM925" s="107"/>
      <c r="AN925" s="107"/>
      <c r="AO925" s="107"/>
      <c r="AP925" s="107"/>
      <c r="AQ925" s="107"/>
      <c r="AR925" s="5"/>
      <c r="AS925" s="5"/>
    </row>
    <row r="926" spans="1:45" ht="15.75" customHeight="1" x14ac:dyDescent="0.25">
      <c r="A926" s="107"/>
      <c r="B926" s="8"/>
      <c r="C926" s="8"/>
      <c r="D926" s="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107"/>
      <c r="AK926" s="107"/>
      <c r="AL926" s="107"/>
      <c r="AM926" s="107"/>
      <c r="AN926" s="107"/>
      <c r="AO926" s="107"/>
      <c r="AP926" s="107"/>
      <c r="AQ926" s="107"/>
      <c r="AR926" s="5"/>
      <c r="AS926" s="5"/>
    </row>
    <row r="927" spans="1:45" ht="15.75" customHeight="1" x14ac:dyDescent="0.25">
      <c r="A927" s="107"/>
      <c r="B927" s="8"/>
      <c r="C927" s="8"/>
      <c r="D927" s="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107"/>
      <c r="AK927" s="107"/>
      <c r="AL927" s="107"/>
      <c r="AM927" s="107"/>
      <c r="AN927" s="107"/>
      <c r="AO927" s="107"/>
      <c r="AP927" s="107"/>
      <c r="AQ927" s="107"/>
      <c r="AR927" s="5"/>
      <c r="AS927" s="5"/>
    </row>
    <row r="928" spans="1:45" ht="15.75" customHeight="1" x14ac:dyDescent="0.25">
      <c r="A928" s="107"/>
      <c r="B928" s="8"/>
      <c r="C928" s="8"/>
      <c r="D928" s="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107"/>
      <c r="AK928" s="107"/>
      <c r="AL928" s="107"/>
      <c r="AM928" s="107"/>
      <c r="AN928" s="107"/>
      <c r="AO928" s="107"/>
      <c r="AP928" s="107"/>
      <c r="AQ928" s="107"/>
      <c r="AR928" s="5"/>
      <c r="AS928" s="5"/>
    </row>
    <row r="929" spans="1:45" ht="15.75" customHeight="1" x14ac:dyDescent="0.25">
      <c r="A929" s="107"/>
      <c r="B929" s="8"/>
      <c r="C929" s="8"/>
      <c r="D929" s="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107"/>
      <c r="AK929" s="107"/>
      <c r="AL929" s="107"/>
      <c r="AM929" s="107"/>
      <c r="AN929" s="107"/>
      <c r="AO929" s="107"/>
      <c r="AP929" s="107"/>
      <c r="AQ929" s="107"/>
      <c r="AR929" s="5"/>
      <c r="AS929" s="5"/>
    </row>
    <row r="930" spans="1:45" ht="15.75" customHeight="1" x14ac:dyDescent="0.25">
      <c r="A930" s="107"/>
      <c r="B930" s="8"/>
      <c r="C930" s="8"/>
      <c r="D930" s="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107"/>
      <c r="AK930" s="107"/>
      <c r="AL930" s="107"/>
      <c r="AM930" s="107"/>
      <c r="AN930" s="107"/>
      <c r="AO930" s="107"/>
      <c r="AP930" s="107"/>
      <c r="AQ930" s="107"/>
      <c r="AR930" s="5"/>
      <c r="AS930" s="5"/>
    </row>
    <row r="931" spans="1:45" ht="15.75" customHeight="1" x14ac:dyDescent="0.25">
      <c r="A931" s="107"/>
      <c r="B931" s="8"/>
      <c r="C931" s="8"/>
      <c r="D931" s="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107"/>
      <c r="AK931" s="107"/>
      <c r="AL931" s="107"/>
      <c r="AM931" s="107"/>
      <c r="AN931" s="107"/>
      <c r="AO931" s="107"/>
      <c r="AP931" s="107"/>
      <c r="AQ931" s="107"/>
      <c r="AR931" s="5"/>
      <c r="AS931" s="5"/>
    </row>
    <row r="932" spans="1:45" ht="15.75" customHeight="1" x14ac:dyDescent="0.25">
      <c r="A932" s="107"/>
      <c r="B932" s="8"/>
      <c r="C932" s="8"/>
      <c r="D932" s="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107"/>
      <c r="AK932" s="107"/>
      <c r="AL932" s="107"/>
      <c r="AM932" s="107"/>
      <c r="AN932" s="107"/>
      <c r="AO932" s="107"/>
      <c r="AP932" s="107"/>
      <c r="AQ932" s="107"/>
      <c r="AR932" s="5"/>
      <c r="AS932" s="5"/>
    </row>
    <row r="933" spans="1:45" ht="15.75" customHeight="1" x14ac:dyDescent="0.25">
      <c r="A933" s="107"/>
      <c r="B933" s="8"/>
      <c r="C933" s="8"/>
      <c r="D933" s="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107"/>
      <c r="AK933" s="107"/>
      <c r="AL933" s="107"/>
      <c r="AM933" s="107"/>
      <c r="AN933" s="107"/>
      <c r="AO933" s="107"/>
      <c r="AP933" s="107"/>
      <c r="AQ933" s="107"/>
      <c r="AR933" s="5"/>
      <c r="AS933" s="5"/>
    </row>
    <row r="934" spans="1:45" ht="15.75" customHeight="1" x14ac:dyDescent="0.25">
      <c r="A934" s="107"/>
      <c r="B934" s="8"/>
      <c r="C934" s="8"/>
      <c r="D934" s="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107"/>
      <c r="AK934" s="107"/>
      <c r="AL934" s="107"/>
      <c r="AM934" s="107"/>
      <c r="AN934" s="107"/>
      <c r="AO934" s="107"/>
      <c r="AP934" s="107"/>
      <c r="AQ934" s="107"/>
      <c r="AR934" s="5"/>
      <c r="AS934" s="5"/>
    </row>
    <row r="935" spans="1:45" ht="15.75" customHeight="1" x14ac:dyDescent="0.25">
      <c r="A935" s="107"/>
      <c r="B935" s="8"/>
      <c r="C935" s="8"/>
      <c r="D935" s="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107"/>
      <c r="AK935" s="107"/>
      <c r="AL935" s="107"/>
      <c r="AM935" s="107"/>
      <c r="AN935" s="107"/>
      <c r="AO935" s="107"/>
      <c r="AP935" s="107"/>
      <c r="AQ935" s="107"/>
      <c r="AR935" s="5"/>
      <c r="AS935" s="5"/>
    </row>
    <row r="936" spans="1:45" ht="15.75" customHeight="1" x14ac:dyDescent="0.25">
      <c r="A936" s="107"/>
      <c r="B936" s="8"/>
      <c r="C936" s="8"/>
      <c r="D936" s="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107"/>
      <c r="AK936" s="107"/>
      <c r="AL936" s="107"/>
      <c r="AM936" s="107"/>
      <c r="AN936" s="107"/>
      <c r="AO936" s="107"/>
      <c r="AP936" s="107"/>
      <c r="AQ936" s="107"/>
      <c r="AR936" s="5"/>
      <c r="AS936" s="5"/>
    </row>
    <row r="937" spans="1:45" ht="15.75" customHeight="1" x14ac:dyDescent="0.25">
      <c r="A937" s="107"/>
      <c r="B937" s="8"/>
      <c r="C937" s="8"/>
      <c r="D937" s="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107"/>
      <c r="AK937" s="107"/>
      <c r="AL937" s="107"/>
      <c r="AM937" s="107"/>
      <c r="AN937" s="107"/>
      <c r="AO937" s="107"/>
      <c r="AP937" s="107"/>
      <c r="AQ937" s="107"/>
      <c r="AR937" s="5"/>
      <c r="AS937" s="5"/>
    </row>
    <row r="938" spans="1:45" ht="15.75" customHeight="1" x14ac:dyDescent="0.25">
      <c r="A938" s="107"/>
      <c r="B938" s="8"/>
      <c r="C938" s="8"/>
      <c r="D938" s="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107"/>
      <c r="AK938" s="107"/>
      <c r="AL938" s="107"/>
      <c r="AM938" s="107"/>
      <c r="AN938" s="107"/>
      <c r="AO938" s="107"/>
      <c r="AP938" s="107"/>
      <c r="AQ938" s="107"/>
      <c r="AR938" s="5"/>
      <c r="AS938" s="5"/>
    </row>
    <row r="939" spans="1:45" ht="15.75" customHeight="1" x14ac:dyDescent="0.25">
      <c r="A939" s="107"/>
      <c r="B939" s="8"/>
      <c r="C939" s="8"/>
      <c r="D939" s="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107"/>
      <c r="AK939" s="107"/>
      <c r="AL939" s="107"/>
      <c r="AM939" s="107"/>
      <c r="AN939" s="107"/>
      <c r="AO939" s="107"/>
      <c r="AP939" s="107"/>
      <c r="AQ939" s="107"/>
      <c r="AR939" s="5"/>
      <c r="AS939" s="5"/>
    </row>
    <row r="940" spans="1:45" ht="15.75" customHeight="1" x14ac:dyDescent="0.25">
      <c r="A940" s="107"/>
      <c r="B940" s="8"/>
      <c r="C940" s="8"/>
      <c r="D940" s="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107"/>
      <c r="AK940" s="107"/>
      <c r="AL940" s="107"/>
      <c r="AM940" s="107"/>
      <c r="AN940" s="107"/>
      <c r="AO940" s="107"/>
      <c r="AP940" s="107"/>
      <c r="AQ940" s="107"/>
      <c r="AR940" s="5"/>
      <c r="AS940" s="5"/>
    </row>
    <row r="941" spans="1:45" ht="15.75" customHeight="1" x14ac:dyDescent="0.25">
      <c r="A941" s="107"/>
      <c r="B941" s="8"/>
      <c r="C941" s="8"/>
      <c r="D941" s="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107"/>
      <c r="AK941" s="107"/>
      <c r="AL941" s="107"/>
      <c r="AM941" s="107"/>
      <c r="AN941" s="107"/>
      <c r="AO941" s="107"/>
      <c r="AP941" s="107"/>
      <c r="AQ941" s="107"/>
      <c r="AR941" s="5"/>
      <c r="AS941" s="5"/>
    </row>
    <row r="942" spans="1:45" ht="15.75" customHeight="1" x14ac:dyDescent="0.25">
      <c r="A942" s="107"/>
      <c r="B942" s="8"/>
      <c r="C942" s="8"/>
      <c r="D942" s="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107"/>
      <c r="AK942" s="107"/>
      <c r="AL942" s="107"/>
      <c r="AM942" s="107"/>
      <c r="AN942" s="107"/>
      <c r="AO942" s="107"/>
      <c r="AP942" s="107"/>
      <c r="AQ942" s="107"/>
      <c r="AR942" s="5"/>
      <c r="AS942" s="5"/>
    </row>
    <row r="943" spans="1:45" ht="15.75" customHeight="1" x14ac:dyDescent="0.25">
      <c r="A943" s="107"/>
      <c r="B943" s="8"/>
      <c r="C943" s="8"/>
      <c r="D943" s="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107"/>
      <c r="AK943" s="107"/>
      <c r="AL943" s="107"/>
      <c r="AM943" s="107"/>
      <c r="AN943" s="107"/>
      <c r="AO943" s="107"/>
      <c r="AP943" s="107"/>
      <c r="AQ943" s="107"/>
      <c r="AR943" s="5"/>
      <c r="AS943" s="5"/>
    </row>
    <row r="944" spans="1:45" ht="15.75" customHeight="1" x14ac:dyDescent="0.25">
      <c r="A944" s="107"/>
      <c r="B944" s="8"/>
      <c r="C944" s="8"/>
      <c r="D944" s="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107"/>
      <c r="AK944" s="107"/>
      <c r="AL944" s="107"/>
      <c r="AM944" s="107"/>
      <c r="AN944" s="107"/>
      <c r="AO944" s="107"/>
      <c r="AP944" s="107"/>
      <c r="AQ944" s="107"/>
      <c r="AR944" s="5"/>
      <c r="AS944" s="5"/>
    </row>
    <row r="945" spans="1:45" ht="15.75" customHeight="1" x14ac:dyDescent="0.25">
      <c r="A945" s="107"/>
      <c r="B945" s="8"/>
      <c r="C945" s="8"/>
      <c r="D945" s="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107"/>
      <c r="AK945" s="107"/>
      <c r="AL945" s="107"/>
      <c r="AM945" s="107"/>
      <c r="AN945" s="107"/>
      <c r="AO945" s="107"/>
      <c r="AP945" s="107"/>
      <c r="AQ945" s="107"/>
      <c r="AR945" s="5"/>
      <c r="AS945" s="5"/>
    </row>
    <row r="946" spans="1:45" ht="15.75" customHeight="1" x14ac:dyDescent="0.25">
      <c r="A946" s="107"/>
      <c r="B946" s="8"/>
      <c r="C946" s="8"/>
      <c r="D946" s="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107"/>
      <c r="AK946" s="107"/>
      <c r="AL946" s="107"/>
      <c r="AM946" s="107"/>
      <c r="AN946" s="107"/>
      <c r="AO946" s="107"/>
      <c r="AP946" s="107"/>
      <c r="AQ946" s="107"/>
      <c r="AR946" s="5"/>
      <c r="AS946" s="5"/>
    </row>
    <row r="947" spans="1:45" ht="15.75" customHeight="1" x14ac:dyDescent="0.25">
      <c r="A947" s="107"/>
      <c r="B947" s="8"/>
      <c r="C947" s="8"/>
      <c r="D947" s="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107"/>
      <c r="AK947" s="107"/>
      <c r="AL947" s="107"/>
      <c r="AM947" s="107"/>
      <c r="AN947" s="107"/>
      <c r="AO947" s="107"/>
      <c r="AP947" s="107"/>
      <c r="AQ947" s="107"/>
      <c r="AR947" s="5"/>
      <c r="AS947" s="5"/>
    </row>
    <row r="948" spans="1:45" ht="15.75" customHeight="1" x14ac:dyDescent="0.25">
      <c r="A948" s="107"/>
      <c r="B948" s="8"/>
      <c r="C948" s="8"/>
      <c r="D948" s="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107"/>
      <c r="AK948" s="107"/>
      <c r="AL948" s="107"/>
      <c r="AM948" s="107"/>
      <c r="AN948" s="107"/>
      <c r="AO948" s="107"/>
      <c r="AP948" s="107"/>
      <c r="AQ948" s="107"/>
      <c r="AR948" s="5"/>
      <c r="AS948" s="5"/>
    </row>
    <row r="949" spans="1:45" ht="15.75" customHeight="1" x14ac:dyDescent="0.25">
      <c r="A949" s="107"/>
      <c r="B949" s="8"/>
      <c r="C949" s="8"/>
      <c r="D949" s="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107"/>
      <c r="AK949" s="107"/>
      <c r="AL949" s="107"/>
      <c r="AM949" s="107"/>
      <c r="AN949" s="107"/>
      <c r="AO949" s="107"/>
      <c r="AP949" s="107"/>
      <c r="AQ949" s="107"/>
      <c r="AR949" s="5"/>
      <c r="AS949" s="5"/>
    </row>
    <row r="950" spans="1:45" ht="15.75" customHeight="1" x14ac:dyDescent="0.25">
      <c r="A950" s="107"/>
      <c r="B950" s="8"/>
      <c r="C950" s="8"/>
      <c r="D950" s="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107"/>
      <c r="AK950" s="107"/>
      <c r="AL950" s="107"/>
      <c r="AM950" s="107"/>
      <c r="AN950" s="107"/>
      <c r="AO950" s="107"/>
      <c r="AP950" s="107"/>
      <c r="AQ950" s="107"/>
      <c r="AR950" s="5"/>
      <c r="AS950" s="5"/>
    </row>
    <row r="951" spans="1:45" ht="15.75" customHeight="1" x14ac:dyDescent="0.25">
      <c r="A951" s="107"/>
      <c r="B951" s="8"/>
      <c r="C951" s="8"/>
      <c r="D951" s="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107"/>
      <c r="AK951" s="107"/>
      <c r="AL951" s="107"/>
      <c r="AM951" s="107"/>
      <c r="AN951" s="107"/>
      <c r="AO951" s="107"/>
      <c r="AP951" s="107"/>
      <c r="AQ951" s="107"/>
      <c r="AR951" s="5"/>
      <c r="AS951" s="5"/>
    </row>
    <row r="952" spans="1:45" ht="15.75" customHeight="1" x14ac:dyDescent="0.25">
      <c r="A952" s="107"/>
      <c r="B952" s="8"/>
      <c r="C952" s="8"/>
      <c r="D952" s="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107"/>
      <c r="AK952" s="107"/>
      <c r="AL952" s="107"/>
      <c r="AM952" s="107"/>
      <c r="AN952" s="107"/>
      <c r="AO952" s="107"/>
      <c r="AP952" s="107"/>
      <c r="AQ952" s="107"/>
      <c r="AR952" s="5"/>
      <c r="AS952" s="5"/>
    </row>
    <row r="953" spans="1:45" ht="15.75" customHeight="1" x14ac:dyDescent="0.25">
      <c r="A953" s="107"/>
      <c r="B953" s="8"/>
      <c r="C953" s="8"/>
      <c r="D953" s="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107"/>
      <c r="AK953" s="107"/>
      <c r="AL953" s="107"/>
      <c r="AM953" s="107"/>
      <c r="AN953" s="107"/>
      <c r="AO953" s="107"/>
      <c r="AP953" s="107"/>
      <c r="AQ953" s="107"/>
      <c r="AR953" s="5"/>
      <c r="AS953" s="5"/>
    </row>
    <row r="954" spans="1:45" ht="15.75" customHeight="1" x14ac:dyDescent="0.25">
      <c r="A954" s="107"/>
      <c r="B954" s="8"/>
      <c r="C954" s="8"/>
      <c r="D954" s="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107"/>
      <c r="AK954" s="107"/>
      <c r="AL954" s="107"/>
      <c r="AM954" s="107"/>
      <c r="AN954" s="107"/>
      <c r="AO954" s="107"/>
      <c r="AP954" s="107"/>
      <c r="AQ954" s="107"/>
      <c r="AR954" s="5"/>
      <c r="AS954" s="5"/>
    </row>
    <row r="955" spans="1:45" ht="15.75" customHeight="1" x14ac:dyDescent="0.25">
      <c r="A955" s="107"/>
      <c r="B955" s="8"/>
      <c r="C955" s="8"/>
      <c r="D955" s="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107"/>
      <c r="AK955" s="107"/>
      <c r="AL955" s="107"/>
      <c r="AM955" s="107"/>
      <c r="AN955" s="107"/>
      <c r="AO955" s="107"/>
      <c r="AP955" s="107"/>
      <c r="AQ955" s="107"/>
      <c r="AR955" s="5"/>
      <c r="AS955" s="5"/>
    </row>
    <row r="956" spans="1:45" ht="15.75" customHeight="1" x14ac:dyDescent="0.25">
      <c r="A956" s="107"/>
      <c r="B956" s="8"/>
      <c r="C956" s="8"/>
      <c r="D956" s="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107"/>
      <c r="AK956" s="107"/>
      <c r="AL956" s="107"/>
      <c r="AM956" s="107"/>
      <c r="AN956" s="107"/>
      <c r="AO956" s="107"/>
      <c r="AP956" s="107"/>
      <c r="AQ956" s="107"/>
      <c r="AR956" s="5"/>
      <c r="AS956" s="5"/>
    </row>
    <row r="957" spans="1:45" ht="15.75" customHeight="1" x14ac:dyDescent="0.25">
      <c r="A957" s="107"/>
      <c r="B957" s="8"/>
      <c r="C957" s="8"/>
      <c r="D957" s="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107"/>
      <c r="AK957" s="107"/>
      <c r="AL957" s="107"/>
      <c r="AM957" s="107"/>
      <c r="AN957" s="107"/>
      <c r="AO957" s="107"/>
      <c r="AP957" s="107"/>
      <c r="AQ957" s="107"/>
      <c r="AR957" s="5"/>
      <c r="AS957" s="5"/>
    </row>
    <row r="958" spans="1:45" ht="15.75" customHeight="1" x14ac:dyDescent="0.25">
      <c r="A958" s="107"/>
      <c r="B958" s="8"/>
      <c r="C958" s="8"/>
      <c r="D958" s="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107"/>
      <c r="AK958" s="107"/>
      <c r="AL958" s="107"/>
      <c r="AM958" s="107"/>
      <c r="AN958" s="107"/>
      <c r="AO958" s="107"/>
      <c r="AP958" s="107"/>
      <c r="AQ958" s="107"/>
      <c r="AR958" s="5"/>
      <c r="AS958" s="5"/>
    </row>
    <row r="959" spans="1:45" ht="15.75" customHeight="1" x14ac:dyDescent="0.25">
      <c r="A959" s="107"/>
      <c r="B959" s="8"/>
      <c r="C959" s="8"/>
      <c r="D959" s="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107"/>
      <c r="AK959" s="107"/>
      <c r="AL959" s="107"/>
      <c r="AM959" s="107"/>
      <c r="AN959" s="107"/>
      <c r="AO959" s="107"/>
      <c r="AP959" s="107"/>
      <c r="AQ959" s="107"/>
      <c r="AR959" s="5"/>
      <c r="AS959" s="5"/>
    </row>
    <row r="960" spans="1:45" ht="15.75" customHeight="1" x14ac:dyDescent="0.25">
      <c r="A960" s="107"/>
      <c r="B960" s="8"/>
      <c r="C960" s="8"/>
      <c r="D960" s="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107"/>
      <c r="AK960" s="107"/>
      <c r="AL960" s="107"/>
      <c r="AM960" s="107"/>
      <c r="AN960" s="107"/>
      <c r="AO960" s="107"/>
      <c r="AP960" s="107"/>
      <c r="AQ960" s="107"/>
      <c r="AR960" s="5"/>
      <c r="AS960" s="5"/>
    </row>
    <row r="961" spans="1:45" ht="15.75" customHeight="1" x14ac:dyDescent="0.25">
      <c r="A961" s="107"/>
      <c r="B961" s="8"/>
      <c r="C961" s="8"/>
      <c r="D961" s="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107"/>
      <c r="AK961" s="107"/>
      <c r="AL961" s="107"/>
      <c r="AM961" s="107"/>
      <c r="AN961" s="107"/>
      <c r="AO961" s="107"/>
      <c r="AP961" s="107"/>
      <c r="AQ961" s="107"/>
      <c r="AR961" s="5"/>
      <c r="AS961" s="5"/>
    </row>
    <row r="962" spans="1:45" ht="15.75" customHeight="1" x14ac:dyDescent="0.25">
      <c r="A962" s="107"/>
      <c r="B962" s="8"/>
      <c r="C962" s="8"/>
      <c r="D962" s="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107"/>
      <c r="AK962" s="107"/>
      <c r="AL962" s="107"/>
      <c r="AM962" s="107"/>
      <c r="AN962" s="107"/>
      <c r="AO962" s="107"/>
      <c r="AP962" s="107"/>
      <c r="AQ962" s="107"/>
      <c r="AR962" s="5"/>
      <c r="AS962" s="5"/>
    </row>
    <row r="963" spans="1:45" ht="15.75" customHeight="1" x14ac:dyDescent="0.25">
      <c r="A963" s="107"/>
      <c r="B963" s="8"/>
      <c r="C963" s="8"/>
      <c r="D963" s="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107"/>
      <c r="AK963" s="107"/>
      <c r="AL963" s="107"/>
      <c r="AM963" s="107"/>
      <c r="AN963" s="107"/>
      <c r="AO963" s="107"/>
      <c r="AP963" s="107"/>
      <c r="AQ963" s="107"/>
      <c r="AR963" s="5"/>
      <c r="AS963" s="5"/>
    </row>
    <row r="964" spans="1:45" ht="15.75" customHeight="1" x14ac:dyDescent="0.25">
      <c r="A964" s="107"/>
      <c r="B964" s="8"/>
      <c r="C964" s="8"/>
      <c r="D964" s="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107"/>
      <c r="AK964" s="107"/>
      <c r="AL964" s="107"/>
      <c r="AM964" s="107"/>
      <c r="AN964" s="107"/>
      <c r="AO964" s="107"/>
      <c r="AP964" s="107"/>
      <c r="AQ964" s="107"/>
      <c r="AR964" s="5"/>
      <c r="AS964" s="5"/>
    </row>
    <row r="965" spans="1:45" ht="15.75" customHeight="1" x14ac:dyDescent="0.25">
      <c r="A965" s="107"/>
      <c r="B965" s="8"/>
      <c r="C965" s="8"/>
      <c r="D965" s="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107"/>
      <c r="AK965" s="107"/>
      <c r="AL965" s="107"/>
      <c r="AM965" s="107"/>
      <c r="AN965" s="107"/>
      <c r="AO965" s="107"/>
      <c r="AP965" s="107"/>
      <c r="AQ965" s="107"/>
      <c r="AR965" s="5"/>
      <c r="AS965" s="5"/>
    </row>
    <row r="966" spans="1:45" ht="15.75" customHeight="1" x14ac:dyDescent="0.25">
      <c r="A966" s="107"/>
      <c r="B966" s="8"/>
      <c r="C966" s="8"/>
      <c r="D966" s="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107"/>
      <c r="AK966" s="107"/>
      <c r="AL966" s="107"/>
      <c r="AM966" s="107"/>
      <c r="AN966" s="107"/>
      <c r="AO966" s="107"/>
      <c r="AP966" s="107"/>
      <c r="AQ966" s="107"/>
      <c r="AR966" s="5"/>
      <c r="AS966" s="5"/>
    </row>
    <row r="967" spans="1:45" ht="15.75" customHeight="1" x14ac:dyDescent="0.25">
      <c r="A967" s="107"/>
      <c r="B967" s="8"/>
      <c r="C967" s="8"/>
      <c r="D967" s="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107"/>
      <c r="AK967" s="107"/>
      <c r="AL967" s="107"/>
      <c r="AM967" s="107"/>
      <c r="AN967" s="107"/>
      <c r="AO967" s="107"/>
      <c r="AP967" s="107"/>
      <c r="AQ967" s="107"/>
      <c r="AR967" s="5"/>
      <c r="AS967" s="5"/>
    </row>
    <row r="968" spans="1:45" ht="15.75" customHeight="1" x14ac:dyDescent="0.25">
      <c r="A968" s="107"/>
      <c r="B968" s="8"/>
      <c r="C968" s="8"/>
      <c r="D968" s="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107"/>
      <c r="AK968" s="107"/>
      <c r="AL968" s="107"/>
      <c r="AM968" s="107"/>
      <c r="AN968" s="107"/>
      <c r="AO968" s="107"/>
      <c r="AP968" s="107"/>
      <c r="AQ968" s="107"/>
      <c r="AR968" s="5"/>
      <c r="AS968" s="5"/>
    </row>
    <row r="969" spans="1:45" ht="15.75" customHeight="1" x14ac:dyDescent="0.25">
      <c r="A969" s="107"/>
      <c r="B969" s="8"/>
      <c r="C969" s="8"/>
      <c r="D969" s="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107"/>
      <c r="AK969" s="107"/>
      <c r="AL969" s="107"/>
      <c r="AM969" s="107"/>
      <c r="AN969" s="107"/>
      <c r="AO969" s="107"/>
      <c r="AP969" s="107"/>
      <c r="AQ969" s="107"/>
      <c r="AR969" s="5"/>
      <c r="AS969" s="5"/>
    </row>
    <row r="970" spans="1:45" ht="15.75" customHeight="1" x14ac:dyDescent="0.25">
      <c r="A970" s="107"/>
      <c r="B970" s="8"/>
      <c r="C970" s="8"/>
      <c r="D970" s="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107"/>
      <c r="AK970" s="107"/>
      <c r="AL970" s="107"/>
      <c r="AM970" s="107"/>
      <c r="AN970" s="107"/>
      <c r="AO970" s="107"/>
      <c r="AP970" s="107"/>
      <c r="AQ970" s="107"/>
      <c r="AR970" s="5"/>
      <c r="AS970" s="5"/>
    </row>
    <row r="971" spans="1:45" ht="15.75" customHeight="1" x14ac:dyDescent="0.25">
      <c r="A971" s="107"/>
      <c r="B971" s="8"/>
      <c r="C971" s="8"/>
      <c r="D971" s="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107"/>
      <c r="AK971" s="107"/>
      <c r="AL971" s="107"/>
      <c r="AM971" s="107"/>
      <c r="AN971" s="107"/>
      <c r="AO971" s="107"/>
      <c r="AP971" s="107"/>
      <c r="AQ971" s="107"/>
      <c r="AR971" s="5"/>
      <c r="AS971" s="5"/>
    </row>
    <row r="972" spans="1:45" ht="15.75" customHeight="1" x14ac:dyDescent="0.25">
      <c r="A972" s="107"/>
      <c r="B972" s="8"/>
      <c r="C972" s="8"/>
      <c r="D972" s="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107"/>
      <c r="AK972" s="107"/>
      <c r="AL972" s="107"/>
      <c r="AM972" s="107"/>
      <c r="AN972" s="107"/>
      <c r="AO972" s="107"/>
      <c r="AP972" s="107"/>
      <c r="AQ972" s="107"/>
      <c r="AR972" s="5"/>
      <c r="AS972" s="5"/>
    </row>
    <row r="973" spans="1:45" ht="15.75" customHeight="1" x14ac:dyDescent="0.25">
      <c r="A973" s="107"/>
      <c r="B973" s="8"/>
      <c r="C973" s="8"/>
      <c r="D973" s="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107"/>
      <c r="AK973" s="107"/>
      <c r="AL973" s="107"/>
      <c r="AM973" s="107"/>
      <c r="AN973" s="107"/>
      <c r="AO973" s="107"/>
      <c r="AP973" s="107"/>
      <c r="AQ973" s="107"/>
      <c r="AR973" s="5"/>
      <c r="AS973" s="5"/>
    </row>
    <row r="974" spans="1:45" ht="15.75" customHeight="1" x14ac:dyDescent="0.25">
      <c r="A974" s="107"/>
      <c r="B974" s="8"/>
      <c r="C974" s="8"/>
      <c r="D974" s="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107"/>
      <c r="AK974" s="107"/>
      <c r="AL974" s="107"/>
      <c r="AM974" s="107"/>
      <c r="AN974" s="107"/>
      <c r="AO974" s="107"/>
      <c r="AP974" s="107"/>
      <c r="AQ974" s="107"/>
      <c r="AR974" s="5"/>
      <c r="AS974" s="5"/>
    </row>
    <row r="975" spans="1:45" ht="15.75" customHeight="1" x14ac:dyDescent="0.25">
      <c r="A975" s="107"/>
      <c r="B975" s="8"/>
      <c r="C975" s="8"/>
      <c r="D975" s="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107"/>
      <c r="AK975" s="107"/>
      <c r="AL975" s="107"/>
      <c r="AM975" s="107"/>
      <c r="AN975" s="107"/>
      <c r="AO975" s="107"/>
      <c r="AP975" s="107"/>
      <c r="AQ975" s="107"/>
      <c r="AR975" s="5"/>
      <c r="AS975" s="5"/>
    </row>
    <row r="976" spans="1:45" ht="15.75" customHeight="1" x14ac:dyDescent="0.25">
      <c r="A976" s="107"/>
      <c r="B976" s="8"/>
      <c r="C976" s="8"/>
      <c r="D976" s="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107"/>
      <c r="AK976" s="107"/>
      <c r="AL976" s="107"/>
      <c r="AM976" s="107"/>
      <c r="AN976" s="107"/>
      <c r="AO976" s="107"/>
      <c r="AP976" s="107"/>
      <c r="AQ976" s="107"/>
      <c r="AR976" s="5"/>
      <c r="AS976" s="5"/>
    </row>
    <row r="977" spans="1:45" ht="15.75" customHeight="1" x14ac:dyDescent="0.25">
      <c r="A977" s="107"/>
      <c r="B977" s="8"/>
      <c r="C977" s="8"/>
      <c r="D977" s="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107"/>
      <c r="AK977" s="107"/>
      <c r="AL977" s="107"/>
      <c r="AM977" s="107"/>
      <c r="AN977" s="107"/>
      <c r="AO977" s="107"/>
      <c r="AP977" s="107"/>
      <c r="AQ977" s="107"/>
      <c r="AR977" s="5"/>
      <c r="AS977" s="5"/>
    </row>
    <row r="978" spans="1:45" ht="15.75" customHeight="1" x14ac:dyDescent="0.25">
      <c r="A978" s="107"/>
      <c r="B978" s="8"/>
      <c r="C978" s="8"/>
      <c r="D978" s="8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107"/>
      <c r="AK978" s="107"/>
      <c r="AL978" s="107"/>
      <c r="AM978" s="107"/>
      <c r="AN978" s="107"/>
      <c r="AO978" s="107"/>
      <c r="AP978" s="107"/>
      <c r="AQ978" s="107"/>
      <c r="AR978" s="5"/>
      <c r="AS978" s="5"/>
    </row>
    <row r="979" spans="1:45" ht="15.75" customHeight="1" x14ac:dyDescent="0.25">
      <c r="A979" s="107"/>
      <c r="B979" s="8"/>
      <c r="C979" s="8"/>
      <c r="D979" s="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107"/>
      <c r="AK979" s="107"/>
      <c r="AL979" s="107"/>
      <c r="AM979" s="107"/>
      <c r="AN979" s="107"/>
      <c r="AO979" s="107"/>
      <c r="AP979" s="107"/>
      <c r="AQ979" s="107"/>
      <c r="AR979" s="5"/>
      <c r="AS979" s="5"/>
    </row>
    <row r="980" spans="1:45" ht="15.75" customHeight="1" x14ac:dyDescent="0.25">
      <c r="A980" s="107"/>
      <c r="B980" s="8"/>
      <c r="C980" s="8"/>
      <c r="D980" s="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107"/>
      <c r="AK980" s="107"/>
      <c r="AL980" s="107"/>
      <c r="AM980" s="107"/>
      <c r="AN980" s="107"/>
      <c r="AO980" s="107"/>
      <c r="AP980" s="107"/>
      <c r="AQ980" s="107"/>
      <c r="AR980" s="5"/>
      <c r="AS980" s="5"/>
    </row>
    <row r="981" spans="1:45" ht="15.75" customHeight="1" x14ac:dyDescent="0.25">
      <c r="A981" s="107"/>
      <c r="B981" s="8"/>
      <c r="C981" s="8"/>
      <c r="D981" s="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107"/>
      <c r="AK981" s="107"/>
      <c r="AL981" s="107"/>
      <c r="AM981" s="107"/>
      <c r="AN981" s="107"/>
      <c r="AO981" s="107"/>
      <c r="AP981" s="107"/>
      <c r="AQ981" s="107"/>
      <c r="AR981" s="5"/>
      <c r="AS981" s="5"/>
    </row>
    <row r="982" spans="1:45" ht="15.75" customHeight="1" x14ac:dyDescent="0.25">
      <c r="A982" s="107"/>
      <c r="B982" s="8"/>
      <c r="C982" s="8"/>
      <c r="D982" s="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107"/>
      <c r="AK982" s="107"/>
      <c r="AL982" s="107"/>
      <c r="AM982" s="107"/>
      <c r="AN982" s="107"/>
      <c r="AO982" s="107"/>
      <c r="AP982" s="107"/>
      <c r="AQ982" s="107"/>
      <c r="AR982" s="5"/>
      <c r="AS982" s="5"/>
    </row>
    <row r="983" spans="1:45" ht="15.75" customHeight="1" x14ac:dyDescent="0.25">
      <c r="A983" s="107"/>
      <c r="B983" s="8"/>
      <c r="C983" s="8"/>
      <c r="D983" s="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107"/>
      <c r="AK983" s="107"/>
      <c r="AL983" s="107"/>
      <c r="AM983" s="107"/>
      <c r="AN983" s="107"/>
      <c r="AO983" s="107"/>
      <c r="AP983" s="107"/>
      <c r="AQ983" s="107"/>
      <c r="AR983" s="5"/>
      <c r="AS983" s="5"/>
    </row>
    <row r="984" spans="1:45" ht="15.75" customHeight="1" x14ac:dyDescent="0.25">
      <c r="A984" s="107"/>
      <c r="B984" s="8"/>
      <c r="C984" s="8"/>
      <c r="D984" s="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107"/>
      <c r="AK984" s="107"/>
      <c r="AL984" s="107"/>
      <c r="AM984" s="107"/>
      <c r="AN984" s="107"/>
      <c r="AO984" s="107"/>
      <c r="AP984" s="107"/>
      <c r="AQ984" s="107"/>
      <c r="AR984" s="5"/>
      <c r="AS984" s="5"/>
    </row>
    <row r="985" spans="1:45" ht="15.75" customHeight="1" x14ac:dyDescent="0.25">
      <c r="A985" s="107"/>
      <c r="B985" s="8"/>
      <c r="C985" s="8"/>
      <c r="D985" s="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107"/>
      <c r="AK985" s="107"/>
      <c r="AL985" s="107"/>
      <c r="AM985" s="107"/>
      <c r="AN985" s="107"/>
      <c r="AO985" s="107"/>
      <c r="AP985" s="107"/>
      <c r="AQ985" s="107"/>
      <c r="AR985" s="5"/>
      <c r="AS985" s="5"/>
    </row>
    <row r="986" spans="1:45" ht="15.75" customHeight="1" x14ac:dyDescent="0.25">
      <c r="A986" s="107"/>
      <c r="B986" s="8"/>
      <c r="C986" s="8"/>
      <c r="D986" s="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107"/>
      <c r="AK986" s="107"/>
      <c r="AL986" s="107"/>
      <c r="AM986" s="107"/>
      <c r="AN986" s="107"/>
      <c r="AO986" s="107"/>
      <c r="AP986" s="107"/>
      <c r="AQ986" s="107"/>
      <c r="AR986" s="5"/>
      <c r="AS986" s="5"/>
    </row>
    <row r="987" spans="1:45" ht="15.75" customHeight="1" x14ac:dyDescent="0.25">
      <c r="A987" s="107"/>
      <c r="B987" s="8"/>
      <c r="C987" s="8"/>
      <c r="D987" s="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107"/>
      <c r="AK987" s="107"/>
      <c r="AL987" s="107"/>
      <c r="AM987" s="107"/>
      <c r="AN987" s="107"/>
      <c r="AO987" s="107"/>
      <c r="AP987" s="107"/>
      <c r="AQ987" s="107"/>
      <c r="AR987" s="5"/>
      <c r="AS987" s="5"/>
    </row>
    <row r="988" spans="1:45" ht="15.75" customHeight="1" x14ac:dyDescent="0.25">
      <c r="A988" s="107"/>
      <c r="B988" s="8"/>
      <c r="C988" s="8"/>
      <c r="D988" s="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107"/>
      <c r="AK988" s="107"/>
      <c r="AL988" s="107"/>
      <c r="AM988" s="107"/>
      <c r="AN988" s="107"/>
      <c r="AO988" s="107"/>
      <c r="AP988" s="107"/>
      <c r="AQ988" s="107"/>
      <c r="AR988" s="5"/>
      <c r="AS988" s="5"/>
    </row>
    <row r="989" spans="1:45" ht="15.75" customHeight="1" x14ac:dyDescent="0.25">
      <c r="A989" s="107"/>
      <c r="B989" s="8"/>
      <c r="C989" s="8"/>
      <c r="D989" s="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107"/>
      <c r="AK989" s="107"/>
      <c r="AL989" s="107"/>
      <c r="AM989" s="107"/>
      <c r="AN989" s="107"/>
      <c r="AO989" s="107"/>
      <c r="AP989" s="107"/>
      <c r="AQ989" s="107"/>
      <c r="AR989" s="5"/>
      <c r="AS989" s="5"/>
    </row>
    <row r="990" spans="1:45" ht="15.75" customHeight="1" x14ac:dyDescent="0.25">
      <c r="A990" s="107"/>
      <c r="B990" s="8"/>
      <c r="C990" s="8"/>
      <c r="D990" s="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107"/>
      <c r="AK990" s="107"/>
      <c r="AL990" s="107"/>
      <c r="AM990" s="107"/>
      <c r="AN990" s="107"/>
      <c r="AO990" s="107"/>
      <c r="AP990" s="107"/>
      <c r="AQ990" s="107"/>
      <c r="AR990" s="5"/>
      <c r="AS990" s="5"/>
    </row>
    <row r="991" spans="1:45" ht="15.75" customHeight="1" x14ac:dyDescent="0.25">
      <c r="A991" s="107"/>
      <c r="B991" s="8"/>
      <c r="C991" s="8"/>
      <c r="D991" s="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107"/>
      <c r="AK991" s="107"/>
      <c r="AL991" s="107"/>
      <c r="AM991" s="107"/>
      <c r="AN991" s="107"/>
      <c r="AO991" s="107"/>
      <c r="AP991" s="107"/>
      <c r="AQ991" s="107"/>
      <c r="AR991" s="5"/>
      <c r="AS991" s="5"/>
    </row>
    <row r="992" spans="1:45" ht="15.75" customHeight="1" x14ac:dyDescent="0.25">
      <c r="A992" s="107"/>
      <c r="B992" s="8"/>
      <c r="C992" s="8"/>
      <c r="D992" s="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107"/>
      <c r="AK992" s="107"/>
      <c r="AL992" s="107"/>
      <c r="AM992" s="107"/>
      <c r="AN992" s="107"/>
      <c r="AO992" s="107"/>
      <c r="AP992" s="107"/>
      <c r="AQ992" s="107"/>
      <c r="AR992" s="5"/>
      <c r="AS992" s="5"/>
    </row>
    <row r="993" spans="1:45" ht="15.75" customHeight="1" x14ac:dyDescent="0.25">
      <c r="A993" s="107"/>
      <c r="B993" s="8"/>
      <c r="C993" s="8"/>
      <c r="D993" s="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107"/>
      <c r="AK993" s="107"/>
      <c r="AL993" s="107"/>
      <c r="AM993" s="107"/>
      <c r="AN993" s="107"/>
      <c r="AO993" s="107"/>
      <c r="AP993" s="107"/>
      <c r="AQ993" s="107"/>
      <c r="AR993" s="5"/>
      <c r="AS993" s="5"/>
    </row>
    <row r="994" spans="1:45" ht="15.75" customHeight="1" x14ac:dyDescent="0.25">
      <c r="A994" s="107"/>
      <c r="B994" s="8"/>
      <c r="C994" s="8"/>
      <c r="D994" s="8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107"/>
      <c r="AK994" s="107"/>
      <c r="AL994" s="107"/>
      <c r="AM994" s="107"/>
      <c r="AN994" s="107"/>
      <c r="AO994" s="107"/>
      <c r="AP994" s="107"/>
      <c r="AQ994" s="107"/>
      <c r="AR994" s="5"/>
      <c r="AS994" s="5"/>
    </row>
    <row r="995" spans="1:45" ht="15.75" customHeight="1" x14ac:dyDescent="0.25">
      <c r="A995" s="107"/>
      <c r="B995" s="8"/>
      <c r="C995" s="8"/>
      <c r="D995" s="8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107"/>
      <c r="AK995" s="107"/>
      <c r="AL995" s="107"/>
      <c r="AM995" s="107"/>
      <c r="AN995" s="107"/>
      <c r="AO995" s="107"/>
      <c r="AP995" s="107"/>
      <c r="AQ995" s="107"/>
      <c r="AR995" s="5"/>
      <c r="AS995" s="5"/>
    </row>
    <row r="996" spans="1:45" ht="15.75" customHeight="1" x14ac:dyDescent="0.25">
      <c r="A996" s="107"/>
      <c r="B996" s="8"/>
      <c r="C996" s="8"/>
      <c r="D996" s="8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107"/>
      <c r="AK996" s="107"/>
      <c r="AL996" s="107"/>
      <c r="AM996" s="107"/>
      <c r="AN996" s="107"/>
      <c r="AO996" s="107"/>
      <c r="AP996" s="107"/>
      <c r="AQ996" s="107"/>
      <c r="AR996" s="5"/>
      <c r="AS996" s="5"/>
    </row>
    <row r="997" spans="1:45" ht="15.75" customHeight="1" x14ac:dyDescent="0.25">
      <c r="A997" s="107"/>
      <c r="B997" s="8"/>
      <c r="C997" s="8"/>
      <c r="D997" s="8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107"/>
      <c r="AK997" s="107"/>
      <c r="AL997" s="107"/>
      <c r="AM997" s="107"/>
      <c r="AN997" s="107"/>
      <c r="AO997" s="107"/>
      <c r="AP997" s="107"/>
      <c r="AQ997" s="107"/>
      <c r="AR997" s="5"/>
      <c r="AS997" s="5"/>
    </row>
    <row r="998" spans="1:45" ht="15.75" customHeight="1" x14ac:dyDescent="0.25">
      <c r="A998" s="107"/>
      <c r="B998" s="8"/>
      <c r="C998" s="8"/>
      <c r="D998" s="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107"/>
      <c r="AK998" s="107"/>
      <c r="AL998" s="107"/>
      <c r="AM998" s="107"/>
      <c r="AN998" s="107"/>
      <c r="AO998" s="107"/>
      <c r="AP998" s="107"/>
      <c r="AQ998" s="107"/>
      <c r="AR998" s="5"/>
      <c r="AS998" s="5"/>
    </row>
    <row r="999" spans="1:45" ht="15.75" customHeight="1" x14ac:dyDescent="0.25">
      <c r="A999" s="107"/>
      <c r="B999" s="8"/>
      <c r="C999" s="8"/>
      <c r="D999" s="8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107"/>
      <c r="AK999" s="107"/>
      <c r="AL999" s="107"/>
      <c r="AM999" s="107"/>
      <c r="AN999" s="107"/>
      <c r="AO999" s="107"/>
      <c r="AP999" s="107"/>
      <c r="AQ999" s="107"/>
      <c r="AR999" s="5"/>
      <c r="AS999" s="5"/>
    </row>
    <row r="1000" spans="1:45" ht="15.75" customHeight="1" x14ac:dyDescent="0.25">
      <c r="A1000" s="107"/>
      <c r="B1000" s="8"/>
      <c r="C1000" s="8"/>
      <c r="D1000" s="8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107"/>
      <c r="AK1000" s="107"/>
      <c r="AL1000" s="107"/>
      <c r="AM1000" s="107"/>
      <c r="AN1000" s="107"/>
      <c r="AO1000" s="107"/>
      <c r="AP1000" s="107"/>
      <c r="AQ1000" s="107"/>
      <c r="AR1000" s="5"/>
      <c r="AS1000" s="5"/>
    </row>
    <row r="1001" spans="1:45" ht="15.75" customHeight="1" x14ac:dyDescent="0.25">
      <c r="A1001" s="107"/>
      <c r="B1001" s="8"/>
      <c r="C1001" s="8"/>
      <c r="D1001" s="8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107"/>
      <c r="AK1001" s="107"/>
      <c r="AL1001" s="107"/>
      <c r="AM1001" s="107"/>
      <c r="AN1001" s="107"/>
      <c r="AO1001" s="107"/>
      <c r="AP1001" s="107"/>
      <c r="AQ1001" s="107"/>
      <c r="AR1001" s="5"/>
      <c r="AS1001" s="5"/>
    </row>
    <row r="1002" spans="1:45" ht="15.75" customHeight="1" x14ac:dyDescent="0.25">
      <c r="A1002" s="107"/>
      <c r="B1002" s="8"/>
      <c r="C1002" s="8"/>
      <c r="D1002" s="8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107"/>
      <c r="AK1002" s="107"/>
      <c r="AL1002" s="107"/>
      <c r="AM1002" s="107"/>
      <c r="AN1002" s="107"/>
      <c r="AO1002" s="107"/>
      <c r="AP1002" s="107"/>
      <c r="AQ1002" s="107"/>
      <c r="AR1002" s="5"/>
      <c r="AS1002" s="5"/>
    </row>
    <row r="1003" spans="1:45" ht="15.75" customHeight="1" x14ac:dyDescent="0.25">
      <c r="A1003" s="107"/>
      <c r="B1003" s="8"/>
      <c r="C1003" s="8"/>
      <c r="D1003" s="8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107"/>
      <c r="AK1003" s="107"/>
      <c r="AL1003" s="107"/>
      <c r="AM1003" s="107"/>
      <c r="AN1003" s="107"/>
      <c r="AO1003" s="107"/>
      <c r="AP1003" s="107"/>
      <c r="AQ1003" s="107"/>
      <c r="AR1003" s="5"/>
      <c r="AS1003" s="5"/>
    </row>
    <row r="1004" spans="1:45" ht="15.75" customHeight="1" x14ac:dyDescent="0.25">
      <c r="A1004" s="107"/>
      <c r="B1004" s="8"/>
      <c r="C1004" s="8"/>
      <c r="D1004" s="8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107"/>
      <c r="AK1004" s="107"/>
      <c r="AL1004" s="107"/>
      <c r="AM1004" s="107"/>
      <c r="AN1004" s="107"/>
      <c r="AO1004" s="107"/>
      <c r="AP1004" s="107"/>
      <c r="AQ1004" s="107"/>
      <c r="AR1004" s="5"/>
      <c r="AS1004" s="5"/>
    </row>
    <row r="1005" spans="1:45" ht="15.75" customHeight="1" x14ac:dyDescent="0.25">
      <c r="A1005" s="107"/>
      <c r="B1005" s="8"/>
      <c r="C1005" s="8"/>
      <c r="D1005" s="8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107"/>
      <c r="AK1005" s="107"/>
      <c r="AL1005" s="107"/>
      <c r="AM1005" s="107"/>
      <c r="AN1005" s="107"/>
      <c r="AO1005" s="107"/>
      <c r="AP1005" s="107"/>
      <c r="AQ1005" s="107"/>
      <c r="AR1005" s="5"/>
      <c r="AS1005" s="5"/>
    </row>
    <row r="1006" spans="1:45" ht="15.75" customHeight="1" x14ac:dyDescent="0.25">
      <c r="A1006" s="107"/>
      <c r="B1006" s="8"/>
      <c r="C1006" s="8"/>
      <c r="D1006" s="8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107"/>
      <c r="AK1006" s="107"/>
      <c r="AL1006" s="107"/>
      <c r="AM1006" s="107"/>
      <c r="AN1006" s="107"/>
      <c r="AO1006" s="107"/>
      <c r="AP1006" s="107"/>
      <c r="AQ1006" s="107"/>
      <c r="AR1006" s="5"/>
      <c r="AS1006" s="5"/>
    </row>
    <row r="1007" spans="1:45" ht="15.75" customHeight="1" x14ac:dyDescent="0.25">
      <c r="A1007" s="107"/>
      <c r="B1007" s="8"/>
      <c r="C1007" s="8"/>
      <c r="D1007" s="8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107"/>
      <c r="AK1007" s="107"/>
      <c r="AL1007" s="107"/>
      <c r="AM1007" s="107"/>
      <c r="AN1007" s="107"/>
      <c r="AO1007" s="107"/>
      <c r="AP1007" s="107"/>
      <c r="AQ1007" s="107"/>
      <c r="AR1007" s="5"/>
      <c r="AS1007" s="5"/>
    </row>
    <row r="1008" spans="1:45" ht="15.75" customHeight="1" x14ac:dyDescent="0.25">
      <c r="A1008" s="107"/>
      <c r="B1008" s="8"/>
      <c r="C1008" s="8"/>
      <c r="D1008" s="8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107"/>
      <c r="AK1008" s="107"/>
      <c r="AL1008" s="107"/>
      <c r="AM1008" s="107"/>
      <c r="AN1008" s="107"/>
      <c r="AO1008" s="107"/>
      <c r="AP1008" s="107"/>
      <c r="AQ1008" s="107"/>
      <c r="AR1008" s="5"/>
      <c r="AS1008" s="5"/>
    </row>
    <row r="1009" spans="1:45" ht="15.75" customHeight="1" x14ac:dyDescent="0.25">
      <c r="A1009" s="107"/>
      <c r="B1009" s="8"/>
      <c r="C1009" s="8"/>
      <c r="D1009" s="8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107"/>
      <c r="AK1009" s="107"/>
      <c r="AL1009" s="107"/>
      <c r="AM1009" s="107"/>
      <c r="AN1009" s="107"/>
      <c r="AO1009" s="107"/>
      <c r="AP1009" s="107"/>
      <c r="AQ1009" s="107"/>
      <c r="AR1009" s="5"/>
      <c r="AS1009" s="5"/>
    </row>
    <row r="1010" spans="1:45" ht="15.75" customHeight="1" x14ac:dyDescent="0.25">
      <c r="A1010" s="107"/>
      <c r="B1010" s="8"/>
      <c r="C1010" s="8"/>
      <c r="D1010" s="8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107"/>
      <c r="AK1010" s="107"/>
      <c r="AL1010" s="107"/>
      <c r="AM1010" s="107"/>
      <c r="AN1010" s="107"/>
      <c r="AO1010" s="107"/>
      <c r="AP1010" s="107"/>
      <c r="AQ1010" s="107"/>
      <c r="AR1010" s="5"/>
      <c r="AS1010" s="5"/>
    </row>
    <row r="1011" spans="1:45" ht="15.75" customHeight="1" x14ac:dyDescent="0.25">
      <c r="A1011" s="107"/>
      <c r="B1011" s="8"/>
      <c r="C1011" s="8"/>
      <c r="D1011" s="8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107"/>
      <c r="AK1011" s="107"/>
      <c r="AL1011" s="107"/>
      <c r="AM1011" s="107"/>
      <c r="AN1011" s="107"/>
      <c r="AO1011" s="107"/>
      <c r="AP1011" s="107"/>
      <c r="AQ1011" s="107"/>
      <c r="AR1011" s="5"/>
      <c r="AS1011" s="5"/>
    </row>
    <row r="1012" spans="1:45" ht="15.75" customHeight="1" x14ac:dyDescent="0.25">
      <c r="A1012" s="107"/>
      <c r="B1012" s="8"/>
      <c r="C1012" s="8"/>
      <c r="D1012" s="8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107"/>
      <c r="AK1012" s="107"/>
      <c r="AL1012" s="107"/>
      <c r="AM1012" s="107"/>
      <c r="AN1012" s="107"/>
      <c r="AO1012" s="107"/>
      <c r="AP1012" s="107"/>
      <c r="AQ1012" s="107"/>
      <c r="AR1012" s="5"/>
      <c r="AS1012" s="5"/>
    </row>
    <row r="1013" spans="1:45" ht="15.75" customHeight="1" x14ac:dyDescent="0.25">
      <c r="A1013" s="107"/>
      <c r="B1013" s="8"/>
      <c r="C1013" s="8"/>
      <c r="D1013" s="8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107"/>
      <c r="AK1013" s="107"/>
      <c r="AL1013" s="107"/>
      <c r="AM1013" s="107"/>
      <c r="AN1013" s="107"/>
      <c r="AO1013" s="107"/>
      <c r="AP1013" s="107"/>
      <c r="AQ1013" s="107"/>
      <c r="AR1013" s="5"/>
      <c r="AS1013" s="5"/>
    </row>
    <row r="1014" spans="1:45" ht="15.75" customHeight="1" x14ac:dyDescent="0.25">
      <c r="A1014" s="107"/>
      <c r="B1014" s="8"/>
      <c r="C1014" s="8"/>
      <c r="D1014" s="8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107"/>
      <c r="AK1014" s="107"/>
      <c r="AL1014" s="107"/>
      <c r="AM1014" s="107"/>
      <c r="AN1014" s="107"/>
      <c r="AO1014" s="107"/>
      <c r="AP1014" s="107"/>
      <c r="AQ1014" s="107"/>
      <c r="AR1014" s="5"/>
      <c r="AS1014" s="5"/>
    </row>
    <row r="1015" spans="1:45" ht="15.75" customHeight="1" x14ac:dyDescent="0.25">
      <c r="A1015" s="107"/>
      <c r="B1015" s="8"/>
      <c r="C1015" s="8"/>
      <c r="D1015" s="8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107"/>
      <c r="AK1015" s="107"/>
      <c r="AL1015" s="107"/>
      <c r="AM1015" s="107"/>
      <c r="AN1015" s="107"/>
      <c r="AO1015" s="107"/>
      <c r="AP1015" s="107"/>
      <c r="AQ1015" s="107"/>
      <c r="AR1015" s="5"/>
      <c r="AS1015" s="5"/>
    </row>
    <row r="1016" spans="1:45" ht="15.75" customHeight="1" x14ac:dyDescent="0.25">
      <c r="A1016" s="107"/>
      <c r="B1016" s="8"/>
      <c r="C1016" s="8"/>
      <c r="D1016" s="8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107"/>
      <c r="AK1016" s="107"/>
      <c r="AL1016" s="107"/>
      <c r="AM1016" s="107"/>
      <c r="AN1016" s="107"/>
      <c r="AO1016" s="107"/>
      <c r="AP1016" s="107"/>
      <c r="AQ1016" s="107"/>
      <c r="AR1016" s="5"/>
      <c r="AS1016" s="5"/>
    </row>
    <row r="1017" spans="1:45" ht="15.75" customHeight="1" x14ac:dyDescent="0.25">
      <c r="A1017" s="107"/>
      <c r="B1017" s="8"/>
      <c r="C1017" s="8"/>
      <c r="D1017" s="8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107"/>
      <c r="AK1017" s="107"/>
      <c r="AL1017" s="107"/>
      <c r="AM1017" s="107"/>
      <c r="AN1017" s="107"/>
      <c r="AO1017" s="107"/>
      <c r="AP1017" s="107"/>
      <c r="AQ1017" s="107"/>
      <c r="AR1017" s="5"/>
      <c r="AS1017" s="5"/>
    </row>
    <row r="1018" spans="1:45" ht="15.75" customHeight="1" x14ac:dyDescent="0.25">
      <c r="A1018" s="107"/>
      <c r="B1018" s="8"/>
      <c r="C1018" s="8"/>
      <c r="D1018" s="8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107"/>
      <c r="AK1018" s="107"/>
      <c r="AL1018" s="107"/>
      <c r="AM1018" s="107"/>
      <c r="AN1018" s="107"/>
      <c r="AO1018" s="107"/>
      <c r="AP1018" s="107"/>
      <c r="AQ1018" s="107"/>
      <c r="AR1018" s="5"/>
      <c r="AS1018" s="5"/>
    </row>
    <row r="1019" spans="1:45" ht="15.75" customHeight="1" x14ac:dyDescent="0.25">
      <c r="A1019" s="107"/>
      <c r="B1019" s="8"/>
      <c r="C1019" s="8"/>
      <c r="D1019" s="8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107"/>
      <c r="AK1019" s="107"/>
      <c r="AL1019" s="107"/>
      <c r="AM1019" s="107"/>
      <c r="AN1019" s="107"/>
      <c r="AO1019" s="107"/>
      <c r="AP1019" s="107"/>
      <c r="AQ1019" s="107"/>
      <c r="AR1019" s="5"/>
      <c r="AS1019" s="5"/>
    </row>
    <row r="1020" spans="1:45" ht="15.75" customHeight="1" x14ac:dyDescent="0.25">
      <c r="A1020" s="107"/>
      <c r="B1020" s="8"/>
      <c r="C1020" s="8"/>
      <c r="D1020" s="8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107"/>
      <c r="AK1020" s="107"/>
      <c r="AL1020" s="107"/>
      <c r="AM1020" s="107"/>
      <c r="AN1020" s="107"/>
      <c r="AO1020" s="107"/>
      <c r="AP1020" s="107"/>
      <c r="AQ1020" s="107"/>
      <c r="AR1020" s="5"/>
      <c r="AS1020" s="5"/>
    </row>
    <row r="1021" spans="1:45" ht="15.75" customHeight="1" x14ac:dyDescent="0.25">
      <c r="A1021" s="107"/>
      <c r="B1021" s="8"/>
      <c r="C1021" s="8"/>
      <c r="D1021" s="8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107"/>
      <c r="AK1021" s="107"/>
      <c r="AL1021" s="107"/>
      <c r="AM1021" s="107"/>
      <c r="AN1021" s="107"/>
      <c r="AO1021" s="107"/>
      <c r="AP1021" s="107"/>
      <c r="AQ1021" s="107"/>
      <c r="AR1021" s="5"/>
      <c r="AS1021" s="5"/>
    </row>
    <row r="1022" spans="1:45" ht="15.75" customHeight="1" x14ac:dyDescent="0.25">
      <c r="A1022" s="107"/>
      <c r="B1022" s="8"/>
      <c r="C1022" s="8"/>
      <c r="D1022" s="8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107"/>
      <c r="AK1022" s="107"/>
      <c r="AL1022" s="107"/>
      <c r="AM1022" s="107"/>
      <c r="AN1022" s="107"/>
      <c r="AO1022" s="107"/>
      <c r="AP1022" s="107"/>
      <c r="AQ1022" s="107"/>
      <c r="AR1022" s="5"/>
      <c r="AS1022" s="5"/>
    </row>
    <row r="1023" spans="1:45" ht="15.75" customHeight="1" x14ac:dyDescent="0.25">
      <c r="A1023" s="107"/>
      <c r="B1023" s="8"/>
      <c r="C1023" s="8"/>
      <c r="D1023" s="8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107"/>
      <c r="AK1023" s="107"/>
      <c r="AL1023" s="107"/>
      <c r="AM1023" s="107"/>
      <c r="AN1023" s="107"/>
      <c r="AO1023" s="107"/>
      <c r="AP1023" s="107"/>
      <c r="AQ1023" s="107"/>
      <c r="AR1023" s="5"/>
      <c r="AS1023" s="5"/>
    </row>
    <row r="1024" spans="1:45" ht="15.75" customHeight="1" x14ac:dyDescent="0.25">
      <c r="A1024" s="107"/>
      <c r="B1024" s="8"/>
      <c r="C1024" s="8"/>
      <c r="D1024" s="8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107"/>
      <c r="AK1024" s="107"/>
      <c r="AL1024" s="107"/>
      <c r="AM1024" s="107"/>
      <c r="AN1024" s="107"/>
      <c r="AO1024" s="107"/>
      <c r="AP1024" s="107"/>
      <c r="AQ1024" s="107"/>
      <c r="AR1024" s="5"/>
      <c r="AS1024" s="5"/>
    </row>
    <row r="1025" spans="1:45" ht="15.75" customHeight="1" x14ac:dyDescent="0.25">
      <c r="A1025" s="107"/>
      <c r="B1025" s="8"/>
      <c r="C1025" s="8"/>
      <c r="D1025" s="8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107"/>
      <c r="AK1025" s="107"/>
      <c r="AL1025" s="107"/>
      <c r="AM1025" s="107"/>
      <c r="AN1025" s="107"/>
      <c r="AO1025" s="107"/>
      <c r="AP1025" s="107"/>
      <c r="AQ1025" s="107"/>
      <c r="AR1025" s="5"/>
      <c r="AS1025" s="5"/>
    </row>
    <row r="1026" spans="1:45" ht="15.75" customHeight="1" x14ac:dyDescent="0.25">
      <c r="A1026" s="107"/>
      <c r="B1026" s="8"/>
      <c r="C1026" s="8"/>
      <c r="D1026" s="8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107"/>
      <c r="AK1026" s="107"/>
      <c r="AL1026" s="107"/>
      <c r="AM1026" s="107"/>
      <c r="AN1026" s="107"/>
      <c r="AO1026" s="107"/>
      <c r="AP1026" s="107"/>
      <c r="AQ1026" s="107"/>
      <c r="AR1026" s="5"/>
      <c r="AS1026" s="5"/>
    </row>
    <row r="1027" spans="1:45" ht="15.75" customHeight="1" x14ac:dyDescent="0.25">
      <c r="A1027" s="107"/>
      <c r="B1027" s="8"/>
      <c r="C1027" s="8"/>
      <c r="D1027" s="8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107"/>
      <c r="AK1027" s="107"/>
      <c r="AL1027" s="107"/>
      <c r="AM1027" s="107"/>
      <c r="AN1027" s="107"/>
      <c r="AO1027" s="107"/>
      <c r="AP1027" s="107"/>
      <c r="AQ1027" s="107"/>
      <c r="AR1027" s="5"/>
      <c r="AS1027" s="5"/>
    </row>
    <row r="1028" spans="1:45" ht="15.75" customHeight="1" x14ac:dyDescent="0.25">
      <c r="A1028" s="107"/>
      <c r="B1028" s="8"/>
      <c r="C1028" s="8"/>
      <c r="D1028" s="8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107"/>
      <c r="AK1028" s="107"/>
      <c r="AL1028" s="107"/>
      <c r="AM1028" s="107"/>
      <c r="AN1028" s="107"/>
      <c r="AO1028" s="107"/>
      <c r="AP1028" s="107"/>
      <c r="AQ1028" s="107"/>
      <c r="AR1028" s="5"/>
      <c r="AS1028" s="5"/>
    </row>
    <row r="1029" spans="1:45" ht="15.75" customHeight="1" x14ac:dyDescent="0.25">
      <c r="A1029" s="107"/>
      <c r="B1029" s="8"/>
      <c r="C1029" s="8"/>
      <c r="D1029" s="8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107"/>
      <c r="AK1029" s="107"/>
      <c r="AL1029" s="107"/>
      <c r="AM1029" s="107"/>
      <c r="AN1029" s="107"/>
      <c r="AO1029" s="107"/>
      <c r="AP1029" s="107"/>
      <c r="AQ1029" s="107"/>
      <c r="AR1029" s="5"/>
      <c r="AS1029" s="5"/>
    </row>
    <row r="1030" spans="1:45" ht="15.75" customHeight="1" x14ac:dyDescent="0.25">
      <c r="A1030" s="107"/>
      <c r="B1030" s="8"/>
      <c r="C1030" s="8"/>
      <c r="D1030" s="8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107"/>
      <c r="AK1030" s="107"/>
      <c r="AL1030" s="107"/>
      <c r="AM1030" s="107"/>
      <c r="AN1030" s="107"/>
      <c r="AO1030" s="107"/>
      <c r="AP1030" s="107"/>
      <c r="AQ1030" s="107"/>
      <c r="AR1030" s="5"/>
      <c r="AS1030" s="5"/>
    </row>
    <row r="1031" spans="1:45" ht="15.75" customHeight="1" x14ac:dyDescent="0.25">
      <c r="A1031" s="107"/>
      <c r="B1031" s="8"/>
      <c r="C1031" s="8"/>
      <c r="D1031" s="8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107"/>
      <c r="AK1031" s="107"/>
      <c r="AL1031" s="107"/>
      <c r="AM1031" s="107"/>
      <c r="AN1031" s="107"/>
      <c r="AO1031" s="107"/>
      <c r="AP1031" s="107"/>
      <c r="AQ1031" s="107"/>
      <c r="AR1031" s="5"/>
      <c r="AS1031" s="5"/>
    </row>
    <row r="1032" spans="1:45" ht="15.75" customHeight="1" x14ac:dyDescent="0.25">
      <c r="A1032" s="107"/>
      <c r="B1032" s="8"/>
      <c r="C1032" s="8"/>
      <c r="D1032" s="8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107"/>
      <c r="AK1032" s="107"/>
      <c r="AL1032" s="107"/>
      <c r="AM1032" s="107"/>
      <c r="AN1032" s="107"/>
      <c r="AO1032" s="107"/>
      <c r="AP1032" s="107"/>
      <c r="AQ1032" s="107"/>
      <c r="AR1032" s="5"/>
      <c r="AS1032" s="5"/>
    </row>
    <row r="1033" spans="1:45" ht="15.75" customHeight="1" x14ac:dyDescent="0.25">
      <c r="A1033" s="107"/>
      <c r="B1033" s="8"/>
      <c r="C1033" s="8"/>
      <c r="D1033" s="8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107"/>
      <c r="AK1033" s="107"/>
      <c r="AL1033" s="107"/>
      <c r="AM1033" s="107"/>
      <c r="AN1033" s="107"/>
      <c r="AO1033" s="107"/>
      <c r="AP1033" s="107"/>
      <c r="AQ1033" s="107"/>
      <c r="AR1033" s="5"/>
      <c r="AS1033" s="5"/>
    </row>
    <row r="1034" spans="1:45" ht="15.75" customHeight="1" x14ac:dyDescent="0.25">
      <c r="A1034" s="107"/>
      <c r="B1034" s="8"/>
      <c r="C1034" s="8"/>
      <c r="D1034" s="8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107"/>
      <c r="AK1034" s="107"/>
      <c r="AL1034" s="107"/>
      <c r="AM1034" s="107"/>
      <c r="AN1034" s="107"/>
      <c r="AO1034" s="107"/>
      <c r="AP1034" s="107"/>
      <c r="AQ1034" s="107"/>
      <c r="AR1034" s="5"/>
      <c r="AS1034" s="5"/>
    </row>
    <row r="1035" spans="1:45" ht="15.75" customHeight="1" x14ac:dyDescent="0.25">
      <c r="A1035" s="107"/>
      <c r="B1035" s="8"/>
      <c r="C1035" s="8"/>
      <c r="D1035" s="8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107"/>
      <c r="AK1035" s="107"/>
      <c r="AL1035" s="107"/>
      <c r="AM1035" s="107"/>
      <c r="AN1035" s="107"/>
      <c r="AO1035" s="107"/>
      <c r="AP1035" s="107"/>
      <c r="AQ1035" s="107"/>
      <c r="AR1035" s="5"/>
      <c r="AS1035" s="5"/>
    </row>
    <row r="1036" spans="1:45" ht="15.75" customHeight="1" x14ac:dyDescent="0.25">
      <c r="A1036" s="107"/>
      <c r="B1036" s="8"/>
      <c r="C1036" s="8"/>
      <c r="D1036" s="8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107"/>
      <c r="AK1036" s="107"/>
      <c r="AL1036" s="107"/>
      <c r="AM1036" s="107"/>
      <c r="AN1036" s="107"/>
      <c r="AO1036" s="107"/>
      <c r="AP1036" s="107"/>
      <c r="AQ1036" s="107"/>
      <c r="AR1036" s="5"/>
      <c r="AS1036" s="5"/>
    </row>
    <row r="1037" spans="1:45" ht="15.75" customHeight="1" x14ac:dyDescent="0.25">
      <c r="A1037" s="107"/>
      <c r="B1037" s="8"/>
      <c r="C1037" s="8"/>
      <c r="D1037" s="8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107"/>
      <c r="AK1037" s="107"/>
      <c r="AL1037" s="107"/>
      <c r="AM1037" s="107"/>
      <c r="AN1037" s="107"/>
      <c r="AO1037" s="107"/>
      <c r="AP1037" s="107"/>
      <c r="AQ1037" s="107"/>
      <c r="AR1037" s="5"/>
      <c r="AS1037" s="5"/>
    </row>
    <row r="1038" spans="1:45" ht="15.75" customHeight="1" x14ac:dyDescent="0.25">
      <c r="A1038" s="107"/>
      <c r="B1038" s="8"/>
      <c r="C1038" s="8"/>
      <c r="D1038" s="8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107"/>
      <c r="AK1038" s="107"/>
      <c r="AL1038" s="107"/>
      <c r="AM1038" s="107"/>
      <c r="AN1038" s="107"/>
      <c r="AO1038" s="107"/>
      <c r="AP1038" s="107"/>
      <c r="AQ1038" s="107"/>
      <c r="AR1038" s="5"/>
      <c r="AS1038" s="5"/>
    </row>
    <row r="1039" spans="1:45" ht="15.75" customHeight="1" x14ac:dyDescent="0.25">
      <c r="A1039" s="107"/>
      <c r="B1039" s="8"/>
      <c r="C1039" s="8"/>
      <c r="D1039" s="8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107"/>
      <c r="AK1039" s="107"/>
      <c r="AL1039" s="107"/>
      <c r="AM1039" s="107"/>
      <c r="AN1039" s="107"/>
      <c r="AO1039" s="107"/>
      <c r="AP1039" s="107"/>
      <c r="AQ1039" s="107"/>
      <c r="AR1039" s="5"/>
      <c r="AS1039" s="5"/>
    </row>
    <row r="1040" spans="1:45" ht="15.75" customHeight="1" x14ac:dyDescent="0.25">
      <c r="A1040" s="107"/>
      <c r="B1040" s="8"/>
      <c r="C1040" s="8"/>
      <c r="D1040" s="8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107"/>
      <c r="AK1040" s="107"/>
      <c r="AL1040" s="107"/>
      <c r="AM1040" s="107"/>
      <c r="AN1040" s="107"/>
      <c r="AO1040" s="107"/>
      <c r="AP1040" s="107"/>
      <c r="AQ1040" s="107"/>
      <c r="AR1040" s="5"/>
      <c r="AS1040" s="5"/>
    </row>
    <row r="1041" spans="1:45" ht="15.75" customHeight="1" x14ac:dyDescent="0.25">
      <c r="A1041" s="107"/>
      <c r="B1041" s="8"/>
      <c r="C1041" s="8"/>
      <c r="D1041" s="8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107"/>
      <c r="AK1041" s="107"/>
      <c r="AL1041" s="107"/>
      <c r="AM1041" s="107"/>
      <c r="AN1041" s="107"/>
      <c r="AO1041" s="107"/>
      <c r="AP1041" s="107"/>
      <c r="AQ1041" s="107"/>
      <c r="AR1041" s="5"/>
      <c r="AS1041" s="5"/>
    </row>
    <row r="1042" spans="1:45" ht="15.75" customHeight="1" x14ac:dyDescent="0.25">
      <c r="A1042" s="107"/>
      <c r="B1042" s="8"/>
      <c r="C1042" s="8"/>
      <c r="D1042" s="8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107"/>
      <c r="AK1042" s="107"/>
      <c r="AL1042" s="107"/>
      <c r="AM1042" s="107"/>
      <c r="AN1042" s="107"/>
      <c r="AO1042" s="107"/>
      <c r="AP1042" s="107"/>
      <c r="AQ1042" s="107"/>
      <c r="AR1042" s="5"/>
      <c r="AS1042" s="5"/>
    </row>
    <row r="1043" spans="1:45" ht="15.75" customHeight="1" x14ac:dyDescent="0.25">
      <c r="A1043" s="107"/>
      <c r="B1043" s="8"/>
      <c r="C1043" s="8"/>
      <c r="D1043" s="8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107"/>
      <c r="AK1043" s="107"/>
      <c r="AL1043" s="107"/>
      <c r="AM1043" s="107"/>
      <c r="AN1043" s="107"/>
      <c r="AO1043" s="107"/>
      <c r="AP1043" s="107"/>
      <c r="AQ1043" s="107"/>
      <c r="AR1043" s="5"/>
      <c r="AS1043" s="5"/>
    </row>
    <row r="1044" spans="1:45" ht="15.75" customHeight="1" x14ac:dyDescent="0.25">
      <c r="A1044" s="107"/>
      <c r="B1044" s="8"/>
      <c r="C1044" s="8"/>
      <c r="D1044" s="8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107"/>
      <c r="AK1044" s="107"/>
      <c r="AL1044" s="107"/>
      <c r="AM1044" s="107"/>
      <c r="AN1044" s="107"/>
      <c r="AO1044" s="107"/>
      <c r="AP1044" s="107"/>
      <c r="AQ1044" s="107"/>
      <c r="AR1044" s="5"/>
      <c r="AS1044" s="5"/>
    </row>
    <row r="1045" spans="1:45" ht="15.75" customHeight="1" x14ac:dyDescent="0.25">
      <c r="A1045" s="107"/>
      <c r="B1045" s="8"/>
      <c r="C1045" s="8"/>
      <c r="D1045" s="8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107"/>
      <c r="AK1045" s="107"/>
      <c r="AL1045" s="107"/>
      <c r="AM1045" s="107"/>
      <c r="AN1045" s="107"/>
      <c r="AO1045" s="107"/>
      <c r="AP1045" s="107"/>
      <c r="AQ1045" s="107"/>
      <c r="AR1045" s="5"/>
      <c r="AS1045" s="5"/>
    </row>
    <row r="1046" spans="1:45" ht="15.75" customHeight="1" x14ac:dyDescent="0.25">
      <c r="A1046" s="107"/>
      <c r="B1046" s="8"/>
      <c r="C1046" s="8"/>
      <c r="D1046" s="8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107"/>
      <c r="AK1046" s="107"/>
      <c r="AL1046" s="107"/>
      <c r="AM1046" s="107"/>
      <c r="AN1046" s="107"/>
      <c r="AO1046" s="107"/>
      <c r="AP1046" s="107"/>
      <c r="AQ1046" s="107"/>
      <c r="AR1046" s="5"/>
      <c r="AS1046" s="5"/>
    </row>
    <row r="1047" spans="1:45" ht="15.75" customHeight="1" x14ac:dyDescent="0.25">
      <c r="A1047" s="107"/>
      <c r="B1047" s="8"/>
      <c r="C1047" s="8"/>
      <c r="D1047" s="8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107"/>
      <c r="AK1047" s="107"/>
      <c r="AL1047" s="107"/>
      <c r="AM1047" s="107"/>
      <c r="AN1047" s="107"/>
      <c r="AO1047" s="107"/>
      <c r="AP1047" s="107"/>
      <c r="AQ1047" s="107"/>
      <c r="AR1047" s="5"/>
      <c r="AS1047" s="5"/>
    </row>
    <row r="1048" spans="1:45" ht="15.75" customHeight="1" x14ac:dyDescent="0.25">
      <c r="A1048" s="107"/>
      <c r="B1048" s="8"/>
      <c r="C1048" s="8"/>
      <c r="D1048" s="8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107"/>
      <c r="AK1048" s="107"/>
      <c r="AL1048" s="107"/>
      <c r="AM1048" s="107"/>
      <c r="AN1048" s="107"/>
      <c r="AO1048" s="107"/>
      <c r="AP1048" s="107"/>
      <c r="AQ1048" s="107"/>
      <c r="AR1048" s="5"/>
      <c r="AS1048" s="5"/>
    </row>
    <row r="1049" spans="1:45" ht="15.75" customHeight="1" x14ac:dyDescent="0.25">
      <c r="A1049" s="107"/>
      <c r="B1049" s="8"/>
      <c r="C1049" s="8"/>
      <c r="D1049" s="8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107"/>
      <c r="AK1049" s="107"/>
      <c r="AL1049" s="107"/>
      <c r="AM1049" s="107"/>
      <c r="AN1049" s="107"/>
      <c r="AO1049" s="107"/>
      <c r="AP1049" s="107"/>
      <c r="AQ1049" s="107"/>
      <c r="AR1049" s="5"/>
      <c r="AS1049" s="5"/>
    </row>
    <row r="1050" spans="1:45" ht="15.75" customHeight="1" x14ac:dyDescent="0.25">
      <c r="A1050" s="107"/>
      <c r="B1050" s="8"/>
      <c r="C1050" s="8"/>
      <c r="D1050" s="8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107"/>
      <c r="AK1050" s="107"/>
      <c r="AL1050" s="107"/>
      <c r="AM1050" s="107"/>
      <c r="AN1050" s="107"/>
      <c r="AO1050" s="107"/>
      <c r="AP1050" s="107"/>
      <c r="AQ1050" s="107"/>
      <c r="AR1050" s="5"/>
      <c r="AS1050" s="5"/>
    </row>
    <row r="1051" spans="1:45" ht="15.75" customHeight="1" x14ac:dyDescent="0.25">
      <c r="A1051" s="107"/>
      <c r="B1051" s="8"/>
      <c r="C1051" s="8"/>
      <c r="D1051" s="8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107"/>
      <c r="AK1051" s="107"/>
      <c r="AL1051" s="107"/>
      <c r="AM1051" s="107"/>
      <c r="AN1051" s="107"/>
      <c r="AO1051" s="107"/>
      <c r="AP1051" s="107"/>
      <c r="AQ1051" s="107"/>
      <c r="AR1051" s="5"/>
      <c r="AS1051" s="5"/>
    </row>
    <row r="1052" spans="1:45" ht="15.75" customHeight="1" x14ac:dyDescent="0.25">
      <c r="A1052" s="107"/>
      <c r="B1052" s="8"/>
      <c r="C1052" s="8"/>
      <c r="D1052" s="8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107"/>
      <c r="AK1052" s="107"/>
      <c r="AL1052" s="107"/>
      <c r="AM1052" s="107"/>
      <c r="AN1052" s="107"/>
      <c r="AO1052" s="107"/>
      <c r="AP1052" s="107"/>
      <c r="AQ1052" s="107"/>
      <c r="AR1052" s="5"/>
      <c r="AS1052" s="5"/>
    </row>
    <row r="1053" spans="1:45" ht="15.75" customHeight="1" x14ac:dyDescent="0.25">
      <c r="A1053" s="107"/>
      <c r="B1053" s="8"/>
      <c r="C1053" s="8"/>
      <c r="D1053" s="8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107"/>
      <c r="AK1053" s="107"/>
      <c r="AL1053" s="107"/>
      <c r="AM1053" s="107"/>
      <c r="AN1053" s="107"/>
      <c r="AO1053" s="107"/>
      <c r="AP1053" s="107"/>
      <c r="AQ1053" s="107"/>
      <c r="AR1053" s="5"/>
      <c r="AS1053" s="5"/>
    </row>
    <row r="1054" spans="1:45" ht="15.75" customHeight="1" x14ac:dyDescent="0.25">
      <c r="A1054" s="107"/>
      <c r="B1054" s="8"/>
      <c r="C1054" s="8"/>
      <c r="D1054" s="8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107"/>
      <c r="AK1054" s="107"/>
      <c r="AL1054" s="107"/>
      <c r="AM1054" s="107"/>
      <c r="AN1054" s="107"/>
      <c r="AO1054" s="107"/>
      <c r="AP1054" s="107"/>
      <c r="AQ1054" s="107"/>
      <c r="AR1054" s="5"/>
      <c r="AS1054" s="5"/>
    </row>
    <row r="1055" spans="1:45" ht="15.75" customHeight="1" x14ac:dyDescent="0.25">
      <c r="A1055" s="107"/>
      <c r="B1055" s="8"/>
      <c r="C1055" s="8"/>
      <c r="D1055" s="8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107"/>
      <c r="AK1055" s="107"/>
      <c r="AL1055" s="107"/>
      <c r="AM1055" s="107"/>
      <c r="AN1055" s="107"/>
      <c r="AO1055" s="107"/>
      <c r="AP1055" s="107"/>
      <c r="AQ1055" s="107"/>
      <c r="AR1055" s="5"/>
      <c r="AS1055" s="5"/>
    </row>
    <row r="1056" spans="1:45" ht="15.75" customHeight="1" x14ac:dyDescent="0.25">
      <c r="A1056" s="107"/>
      <c r="B1056" s="8"/>
      <c r="C1056" s="8"/>
      <c r="D1056" s="8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107"/>
      <c r="AK1056" s="107"/>
      <c r="AL1056" s="107"/>
      <c r="AM1056" s="107"/>
      <c r="AN1056" s="107"/>
      <c r="AO1056" s="107"/>
      <c r="AP1056" s="107"/>
      <c r="AQ1056" s="107"/>
      <c r="AR1056" s="5"/>
      <c r="AS1056" s="5"/>
    </row>
    <row r="1057" spans="1:45" ht="15.75" customHeight="1" x14ac:dyDescent="0.25">
      <c r="A1057" s="107"/>
      <c r="B1057" s="8"/>
      <c r="C1057" s="8"/>
      <c r="D1057" s="8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107"/>
      <c r="AK1057" s="107"/>
      <c r="AL1057" s="107"/>
      <c r="AM1057" s="107"/>
      <c r="AN1057" s="107"/>
      <c r="AO1057" s="107"/>
      <c r="AP1057" s="107"/>
      <c r="AQ1057" s="107"/>
      <c r="AR1057" s="5"/>
      <c r="AS1057" s="5"/>
    </row>
  </sheetData>
  <autoFilter ref="A8:AS95" xr:uid="{00000000-0001-0000-02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</autoFilter>
  <mergeCells count="15">
    <mergeCell ref="E110:H110"/>
    <mergeCell ref="AO9:AO10"/>
    <mergeCell ref="AQ9:AQ10"/>
    <mergeCell ref="A8:A10"/>
    <mergeCell ref="B8:B10"/>
    <mergeCell ref="C8:C10"/>
    <mergeCell ref="D8:D10"/>
    <mergeCell ref="E8:AI8"/>
    <mergeCell ref="AJ9:AJ10"/>
    <mergeCell ref="AK9:AK10"/>
    <mergeCell ref="AM9:AM10"/>
    <mergeCell ref="AN9:AN10"/>
    <mergeCell ref="AJ8:AK8"/>
    <mergeCell ref="AP9:AP10"/>
    <mergeCell ref="AL9:AL10"/>
  </mergeCells>
  <phoneticPr fontId="28" type="noConversion"/>
  <conditionalFormatting sqref="E63:H64">
    <cfRule type="expression" dxfId="28" priority="13">
      <formula>E$10="cn"</formula>
    </cfRule>
  </conditionalFormatting>
  <conditionalFormatting sqref="E55:I56">
    <cfRule type="expression" dxfId="27" priority="17">
      <formula>E$10="cn"</formula>
    </cfRule>
  </conditionalFormatting>
  <conditionalFormatting sqref="E25:J35">
    <cfRule type="expression" dxfId="26" priority="24">
      <formula>E$10="cn"</formula>
    </cfRule>
  </conditionalFormatting>
  <conditionalFormatting sqref="E37:J37">
    <cfRule type="expression" dxfId="25" priority="23">
      <formula>E$10="cn"</formula>
    </cfRule>
  </conditionalFormatting>
  <conditionalFormatting sqref="E39:J39">
    <cfRule type="expression" dxfId="24" priority="22">
      <formula>E$10="cn"</formula>
    </cfRule>
  </conditionalFormatting>
  <conditionalFormatting sqref="E41:J41">
    <cfRule type="expression" dxfId="23" priority="21">
      <formula>E$10="cn"</formula>
    </cfRule>
  </conditionalFormatting>
  <conditionalFormatting sqref="E43:J43 E45:J45 E47:J47">
    <cfRule type="expression" dxfId="22" priority="20">
      <formula>E$10="cn"</formula>
    </cfRule>
  </conditionalFormatting>
  <conditionalFormatting sqref="E49:J54">
    <cfRule type="expression" dxfId="21" priority="91">
      <formula>E$10="cn"</formula>
    </cfRule>
  </conditionalFormatting>
  <conditionalFormatting sqref="E57:J62">
    <cfRule type="expression" dxfId="20" priority="15">
      <formula>E$10="cn"</formula>
    </cfRule>
  </conditionalFormatting>
  <conditionalFormatting sqref="E65:J65 E67:J67 E69:J69 E71:J71 E73:J73 E75:J75 E77:J77 E79:J79 E81:J81 E83:J83 E85:J85 E87:J87 E89:J89">
    <cfRule type="expression" dxfId="19" priority="10">
      <formula>E$10="cn"</formula>
    </cfRule>
  </conditionalFormatting>
  <conditionalFormatting sqref="E11:K12 R11:R90 Y11:Y90 E13:J23 K13:K90 E24:F24">
    <cfRule type="expression" dxfId="18" priority="27">
      <formula>E$10="cn"</formula>
    </cfRule>
  </conditionalFormatting>
  <conditionalFormatting sqref="E9:AI10 AI11:AI73 AM38:AN38 AH74:AI74 AG75:AI78 AI79:AI85 AF86:AI90 L87:Q90 E91:AI95">
    <cfRule type="expression" dxfId="17" priority="219">
      <formula>E$10="cn"</formula>
    </cfRule>
  </conditionalFormatting>
  <conditionalFormatting sqref="I63:J63">
    <cfRule type="expression" dxfId="16" priority="11">
      <formula>I$10="cn"</formula>
    </cfRule>
  </conditionalFormatting>
  <conditionalFormatting sqref="J55">
    <cfRule type="expression" dxfId="15" priority="16">
      <formula>J$10="cn"</formula>
    </cfRule>
  </conditionalFormatting>
  <conditionalFormatting sqref="L11:Q11 L13:Q13 L15:Q15 L17:Q17 L19:Q19 L21:Q21 L23:Q23 L25:Q25 L27:Q27 L29:Q29 L31:Q31 L33:Q33 L35:Q35 L37:Q37 L39:Q39 L41:Q41 L43:Q43 L45:Q45 L47:Q47 L49:Q49 L51:Q51 L53:Q53 L55:Q55 L57:Q57 L59:Q59 L61:Q61 L63:Q63 L65:Q65 L67:Q67 L69:Q69 L71:Q71 L73:Q73 L75:Q75 L77:Q77 L79:Q79 L81:Q81 L83:Q83 L85:Q85">
    <cfRule type="expression" dxfId="14" priority="9">
      <formula>L$10="cn"</formula>
    </cfRule>
  </conditionalFormatting>
  <conditionalFormatting sqref="S11:X11 S13:X13 S15:X15 S17:X17 S19:X19 S21:X21 S23:X23 S25:X25 S27:X27 S29:X29 S31:X31 S33:X33 S35:X35 S37:X37 S39:X39 S41:X41 S43:X43 S45:X45 S47:X47 S49:X49 S51:X51 S53:X53 S55:X55 S57:X57 S59:X59 S61:X61 S63:X63 S65:X65 S67:X67 S69:X69 S71:X71 S73:X73 S75:X75 S77:X77 S79:X79 S81:X81 S83:X83 S85:X85 S87:X87 S89:X89">
    <cfRule type="expression" dxfId="13" priority="8">
      <formula>S$10="cn"</formula>
    </cfRule>
  </conditionalFormatting>
  <conditionalFormatting sqref="Z11:AE11 Z13:AE13 Z15:AE15 Z17:AE17 Z19:AE19 Z21:AE21 Z23:AE23 Z25:AE25 Z27:AE27 Z29:AE29 Z31:AE31 Z33:AE33 Z35:AE35 Z37:AE37 Z39:AE39 Z41:AE41 Z43:AE43 Z45:AE45 Z47:AE47 Z49:AE49 Z51:AE51 Z53:AE53 Z55:AE55 Z57:AE57 Z59:AE59 Z61:AE61 Z63:AE63 Z65:AE65 Z67:AE67 Z69:AE69 Z71:AE71 Z73:AE73 Z75:AE75 Z77:AE77 Z79:AE79 Z81:AE81 Z83:AE83 Z85:AE85 Z87:AE87 Z89:AE89">
    <cfRule type="expression" dxfId="12" priority="7">
      <formula>Z$10="cn"</formula>
    </cfRule>
  </conditionalFormatting>
  <conditionalFormatting sqref="AF11:AF85">
    <cfRule type="expression" dxfId="11" priority="36">
      <formula>AF$10="cn"</formula>
    </cfRule>
  </conditionalFormatting>
  <conditionalFormatting sqref="AG11:AH19">
    <cfRule type="expression" dxfId="10" priority="6">
      <formula>AG$10="cn"</formula>
    </cfRule>
  </conditionalFormatting>
  <conditionalFormatting sqref="AG21:AH33">
    <cfRule type="expression" dxfId="9" priority="3">
      <formula>AG$10="cn"</formula>
    </cfRule>
  </conditionalFormatting>
  <conditionalFormatting sqref="AG35:AH37 AG39:AH39 AG41:AH41 AG43:AH43 AG45:AH45 AG47:AH47 AG49:AH49 AG51:AH51 AG53:AH53 AG55:AH55 AG57:AH57 AG59:AH59">
    <cfRule type="expression" dxfId="8" priority="4">
      <formula>AG$10="cn"</formula>
    </cfRule>
  </conditionalFormatting>
  <conditionalFormatting sqref="AG61:AH61 AG63:AH63 AG65:AH65 AG67:AH67">
    <cfRule type="expression" dxfId="7" priority="5">
      <formula>AG$10="cn"</formula>
    </cfRule>
  </conditionalFormatting>
  <conditionalFormatting sqref="AG69:AH73">
    <cfRule type="expression" dxfId="6" priority="48">
      <formula>AG$10="cn"</formula>
    </cfRule>
  </conditionalFormatting>
  <conditionalFormatting sqref="AG79:AH79">
    <cfRule type="expression" dxfId="5" priority="2">
      <formula>AG$10="cn"</formula>
    </cfRule>
  </conditionalFormatting>
  <conditionalFormatting sqref="AG81:AH81">
    <cfRule type="expression" dxfId="4" priority="1">
      <formula>AG$10="cn"</formula>
    </cfRule>
  </conditionalFormatting>
  <conditionalFormatting sqref="AG83:AH85">
    <cfRule type="expression" dxfId="3" priority="32">
      <formula>AG$10="cn"</formula>
    </cfRule>
  </conditionalFormatting>
  <pageMargins left="0" right="0" top="0" bottom="0" header="0" footer="0"/>
  <pageSetup paperSize="9"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1272-F7DA-4C6B-8541-CC20EAC86265}">
  <sheetPr codeName="Sheet3">
    <tabColor rgb="FFFF9900"/>
  </sheetPr>
  <dimension ref="A4:AX72"/>
  <sheetViews>
    <sheetView zoomScale="70" zoomScaleNormal="70" zoomScaleSheetLayoutView="40" workbookViewId="0">
      <pane xSplit="3" ySplit="13" topLeftCell="E14" activePane="bottomRight" state="frozen"/>
      <selection pane="topRight" activeCell="D1" sqref="D1"/>
      <selection pane="bottomLeft" activeCell="A11" sqref="A11"/>
      <selection pane="bottomRight" activeCell="AP23" sqref="AP23"/>
    </sheetView>
  </sheetViews>
  <sheetFormatPr defaultColWidth="9.140625" defaultRowHeight="15.75" x14ac:dyDescent="0.25"/>
  <cols>
    <col min="1" max="1" width="5.140625" style="35" customWidth="1"/>
    <col min="2" max="2" width="9.140625" style="32" bestFit="1" customWidth="1"/>
    <col min="3" max="3" width="26.28515625" style="39" customWidth="1"/>
    <col min="4" max="4" width="9.28515625" style="164" hidden="1" customWidth="1"/>
    <col min="5" max="5" width="13" style="32" customWidth="1"/>
    <col min="6" max="6" width="13.85546875" style="32" hidden="1" customWidth="1"/>
    <col min="7" max="7" width="14.42578125" style="32" customWidth="1"/>
    <col min="8" max="9" width="13.42578125" style="32" customWidth="1"/>
    <col min="10" max="10" width="13.7109375" style="32" customWidth="1"/>
    <col min="11" max="11" width="13.28515625" style="32" customWidth="1"/>
    <col min="12" max="12" width="13.42578125" style="32" customWidth="1"/>
    <col min="13" max="13" width="15.28515625" style="32" customWidth="1"/>
    <col min="14" max="14" width="14.42578125" style="32" customWidth="1"/>
    <col min="15" max="15" width="9" style="37" customWidth="1"/>
    <col min="16" max="16" width="13.5703125" style="37" customWidth="1"/>
    <col min="17" max="19" width="13.140625" style="37" customWidth="1"/>
    <col min="20" max="20" width="6.28515625" style="32" customWidth="1"/>
    <col min="21" max="21" width="12.5703125" style="32" customWidth="1"/>
    <col min="22" max="22" width="8.5703125" style="32" customWidth="1"/>
    <col min="23" max="23" width="13.5703125" style="32" customWidth="1"/>
    <col min="24" max="24" width="5.85546875" style="32" customWidth="1"/>
    <col min="25" max="25" width="12.5703125" style="32" customWidth="1"/>
    <col min="26" max="26" width="11.140625" style="32" customWidth="1"/>
    <col min="27" max="27" width="14.42578125" style="32" customWidth="1"/>
    <col min="28" max="28" width="13.140625" style="32" customWidth="1"/>
    <col min="29" max="29" width="12.42578125" style="32" customWidth="1"/>
    <col min="30" max="30" width="13.5703125" style="32" customWidth="1"/>
    <col min="31" max="32" width="14.5703125" style="32" hidden="1" customWidth="1"/>
    <col min="33" max="33" width="14.42578125" style="32" customWidth="1"/>
    <col min="34" max="34" width="15" style="32" customWidth="1"/>
    <col min="35" max="35" width="13.42578125" style="32" customWidth="1"/>
    <col min="36" max="36" width="12" style="32" customWidth="1"/>
    <col min="37" max="37" width="15" style="32" customWidth="1"/>
    <col min="38" max="16384" width="9.140625" style="32"/>
  </cols>
  <sheetData>
    <row r="4" spans="1:50" s="48" customFormat="1" ht="20.25" x14ac:dyDescent="0.3">
      <c r="A4" s="40" t="s">
        <v>0</v>
      </c>
      <c r="B4" s="41"/>
      <c r="C4" s="42"/>
      <c r="D4" s="162"/>
      <c r="E4" s="43"/>
      <c r="F4" s="43"/>
      <c r="G4" s="44"/>
      <c r="H4" s="45"/>
      <c r="I4" s="45"/>
      <c r="J4" s="45"/>
      <c r="K4" s="45"/>
      <c r="L4" s="45"/>
      <c r="M4" s="45"/>
      <c r="N4" s="45"/>
      <c r="O4" s="46"/>
      <c r="P4" s="45"/>
      <c r="Q4" s="45"/>
      <c r="R4" s="45"/>
      <c r="S4" s="45"/>
      <c r="T4" s="46"/>
      <c r="U4" s="46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4"/>
      <c r="AW4" s="47"/>
      <c r="AX4" s="44"/>
    </row>
    <row r="5" spans="1:50" s="48" customFormat="1" ht="20.25" x14ac:dyDescent="0.3">
      <c r="A5" s="40" t="s">
        <v>90</v>
      </c>
      <c r="B5" s="41"/>
      <c r="C5" s="42"/>
      <c r="D5" s="162"/>
      <c r="E5" s="43"/>
      <c r="F5" s="43"/>
      <c r="G5" s="44"/>
      <c r="H5" s="45"/>
      <c r="I5" s="45"/>
      <c r="J5" s="45"/>
      <c r="K5" s="45"/>
      <c r="L5" s="45"/>
      <c r="M5" s="45"/>
      <c r="N5" s="45"/>
      <c r="O5" s="46"/>
      <c r="P5" s="45"/>
      <c r="Q5" s="45"/>
      <c r="R5" s="45"/>
      <c r="S5" s="45"/>
      <c r="T5" s="46"/>
      <c r="U5" s="46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4"/>
      <c r="AW5" s="47"/>
      <c r="AX5" s="44"/>
    </row>
    <row r="6" spans="1:50" s="48" customFormat="1" ht="20.25" x14ac:dyDescent="0.3">
      <c r="A6" s="40" t="s">
        <v>1</v>
      </c>
      <c r="B6" s="49"/>
      <c r="C6" s="42"/>
      <c r="D6" s="162"/>
      <c r="E6" s="43"/>
      <c r="F6" s="43"/>
      <c r="G6" s="44"/>
      <c r="H6" s="45"/>
      <c r="I6" s="45"/>
      <c r="J6" s="45"/>
      <c r="K6" s="45"/>
      <c r="L6" s="45"/>
      <c r="M6" s="45"/>
      <c r="N6" s="45"/>
      <c r="O6" s="46"/>
      <c r="P6" s="45"/>
      <c r="Q6" s="45"/>
      <c r="R6" s="45"/>
      <c r="S6" s="45"/>
      <c r="T6" s="46"/>
      <c r="U6" s="46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4"/>
      <c r="AW6" s="47"/>
      <c r="AX6" s="44"/>
    </row>
    <row r="7" spans="1:50" s="3" customFormat="1" ht="20.25" x14ac:dyDescent="0.3">
      <c r="A7" s="34"/>
      <c r="B7" s="14"/>
      <c r="C7" s="38"/>
      <c r="D7" s="163"/>
      <c r="E7" s="16"/>
      <c r="F7" s="16"/>
      <c r="G7" s="15"/>
      <c r="H7" s="17"/>
      <c r="I7" s="18"/>
      <c r="J7" s="18"/>
      <c r="K7" s="18"/>
      <c r="L7" s="50"/>
      <c r="M7" s="50"/>
      <c r="N7" s="51" t="s">
        <v>89</v>
      </c>
      <c r="O7" s="52"/>
      <c r="P7" s="52"/>
      <c r="Q7" s="52"/>
      <c r="R7" s="52"/>
      <c r="S7" s="52"/>
      <c r="T7" s="53"/>
      <c r="U7" s="13"/>
      <c r="V7" s="18"/>
      <c r="W7" s="18"/>
      <c r="X7" s="18"/>
      <c r="Y7" s="18"/>
      <c r="Z7" s="18"/>
      <c r="AA7" s="18"/>
      <c r="AB7" s="18"/>
      <c r="AC7" s="17"/>
      <c r="AD7" s="19"/>
      <c r="AE7" s="20"/>
      <c r="AF7" s="21"/>
      <c r="AG7" s="19"/>
      <c r="AH7" s="22"/>
      <c r="AI7" s="21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5"/>
      <c r="AW7" s="23"/>
      <c r="AX7" s="15"/>
    </row>
    <row r="8" spans="1:50" s="3" customFormat="1" ht="18.75" x14ac:dyDescent="0.25">
      <c r="A8" s="34"/>
      <c r="B8" s="14"/>
      <c r="C8" s="38"/>
      <c r="D8" s="163"/>
      <c r="E8" s="16"/>
      <c r="F8" s="16"/>
      <c r="G8" s="15"/>
      <c r="H8" s="17"/>
      <c r="I8" s="18"/>
      <c r="J8" s="18"/>
      <c r="K8" s="18"/>
      <c r="L8" s="18"/>
      <c r="M8" s="18"/>
      <c r="N8" s="134" t="s">
        <v>347</v>
      </c>
      <c r="O8" s="36"/>
      <c r="P8" s="36"/>
      <c r="Q8" s="36"/>
      <c r="R8" s="36"/>
      <c r="S8" s="36"/>
      <c r="T8" s="33"/>
      <c r="U8" s="21"/>
      <c r="V8" s="18"/>
      <c r="W8" s="18"/>
      <c r="X8" s="18"/>
      <c r="Y8" s="18"/>
      <c r="Z8" s="18"/>
      <c r="AA8" s="18"/>
      <c r="AB8" s="18"/>
      <c r="AC8" s="17"/>
      <c r="AD8" s="430"/>
      <c r="AE8" s="430"/>
      <c r="AF8" s="24"/>
      <c r="AG8" s="430"/>
      <c r="AH8" s="430"/>
      <c r="AI8" s="24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5"/>
      <c r="AW8" s="23"/>
      <c r="AX8" s="15"/>
    </row>
    <row r="9" spans="1:50" ht="18.75" x14ac:dyDescent="0.3">
      <c r="N9" s="161" t="s">
        <v>156</v>
      </c>
      <c r="O9" s="311"/>
      <c r="P9" s="161"/>
      <c r="Q9" s="161"/>
      <c r="R9" s="161"/>
      <c r="S9" s="161"/>
      <c r="T9" s="24"/>
      <c r="U9" s="24"/>
      <c r="AC9" s="6"/>
      <c r="AD9" s="6"/>
      <c r="AE9" s="6"/>
      <c r="AF9" s="6"/>
      <c r="AG9" s="6"/>
      <c r="AH9" s="6"/>
      <c r="AI9" s="6"/>
      <c r="AJ9" s="6"/>
    </row>
    <row r="12" spans="1:50" s="203" customFormat="1" ht="43.5" customHeight="1" x14ac:dyDescent="0.25">
      <c r="A12" s="431" t="s">
        <v>2</v>
      </c>
      <c r="B12" s="431" t="s">
        <v>3</v>
      </c>
      <c r="C12" s="427" t="s">
        <v>96</v>
      </c>
      <c r="D12" s="433" t="s">
        <v>62</v>
      </c>
      <c r="E12" s="428" t="s">
        <v>97</v>
      </c>
      <c r="F12" s="433" t="s">
        <v>63</v>
      </c>
      <c r="G12" s="414" t="s">
        <v>98</v>
      </c>
      <c r="H12" s="415"/>
      <c r="I12" s="414" t="s">
        <v>186</v>
      </c>
      <c r="J12" s="435"/>
      <c r="K12" s="435"/>
      <c r="L12" s="415"/>
      <c r="M12" s="427" t="s">
        <v>103</v>
      </c>
      <c r="N12" s="427" t="s">
        <v>74</v>
      </c>
      <c r="O12" s="434" t="s">
        <v>104</v>
      </c>
      <c r="P12" s="418" t="s">
        <v>187</v>
      </c>
      <c r="Q12" s="418"/>
      <c r="R12" s="418"/>
      <c r="S12" s="419"/>
      <c r="T12" s="427" t="s">
        <v>180</v>
      </c>
      <c r="U12" s="427"/>
      <c r="V12" s="414" t="s">
        <v>350</v>
      </c>
      <c r="W12" s="415"/>
      <c r="X12" s="414" t="s">
        <v>351</v>
      </c>
      <c r="Y12" s="415"/>
      <c r="Z12" s="427" t="s">
        <v>324</v>
      </c>
      <c r="AA12" s="426" t="s">
        <v>86</v>
      </c>
      <c r="AB12" s="426" t="s">
        <v>83</v>
      </c>
      <c r="AC12" s="426"/>
      <c r="AD12" s="426" t="s">
        <v>82</v>
      </c>
      <c r="AE12" s="426"/>
      <c r="AF12" s="427" t="s">
        <v>99</v>
      </c>
      <c r="AG12" s="428" t="s">
        <v>165</v>
      </c>
      <c r="AH12" s="416" t="s">
        <v>79</v>
      </c>
      <c r="AI12" s="416" t="s">
        <v>78</v>
      </c>
      <c r="AJ12" s="416" t="s">
        <v>77</v>
      </c>
      <c r="AK12" s="425" t="s">
        <v>76</v>
      </c>
    </row>
    <row r="13" spans="1:50" s="203" customFormat="1" ht="77.25" customHeight="1" x14ac:dyDescent="0.25">
      <c r="A13" s="432"/>
      <c r="B13" s="432"/>
      <c r="C13" s="427"/>
      <c r="D13" s="433"/>
      <c r="E13" s="429"/>
      <c r="F13" s="433"/>
      <c r="G13" s="202" t="s">
        <v>75</v>
      </c>
      <c r="H13" s="202" t="s">
        <v>110</v>
      </c>
      <c r="I13" s="202" t="s">
        <v>67</v>
      </c>
      <c r="J13" s="202" t="s">
        <v>7</v>
      </c>
      <c r="K13" s="202" t="s">
        <v>6</v>
      </c>
      <c r="L13" s="202" t="s">
        <v>68</v>
      </c>
      <c r="M13" s="433"/>
      <c r="N13" s="433"/>
      <c r="O13" s="434"/>
      <c r="P13" s="202" t="s">
        <v>67</v>
      </c>
      <c r="Q13" s="202" t="s">
        <v>7</v>
      </c>
      <c r="R13" s="202" t="s">
        <v>6</v>
      </c>
      <c r="S13" s="202" t="s">
        <v>68</v>
      </c>
      <c r="T13" s="201" t="s">
        <v>100</v>
      </c>
      <c r="U13" s="201" t="s">
        <v>93</v>
      </c>
      <c r="V13" s="201" t="s">
        <v>348</v>
      </c>
      <c r="W13" s="201" t="s">
        <v>93</v>
      </c>
      <c r="X13" s="201" t="s">
        <v>349</v>
      </c>
      <c r="Y13" s="201" t="s">
        <v>93</v>
      </c>
      <c r="Z13" s="427"/>
      <c r="AA13" s="426"/>
      <c r="AB13" s="201" t="s">
        <v>101</v>
      </c>
      <c r="AC13" s="201" t="s">
        <v>102</v>
      </c>
      <c r="AD13" s="202" t="s">
        <v>71</v>
      </c>
      <c r="AE13" s="202" t="s">
        <v>72</v>
      </c>
      <c r="AF13" s="427"/>
      <c r="AG13" s="429"/>
      <c r="AH13" s="417"/>
      <c r="AI13" s="417"/>
      <c r="AJ13" s="417"/>
      <c r="AK13" s="425"/>
    </row>
    <row r="14" spans="1:50" s="143" customFormat="1" ht="15" x14ac:dyDescent="0.25">
      <c r="A14" s="141">
        <v>0</v>
      </c>
      <c r="B14" s="142">
        <v>1</v>
      </c>
      <c r="C14" s="142">
        <v>2</v>
      </c>
      <c r="D14" s="142">
        <v>3</v>
      </c>
      <c r="E14" s="142">
        <v>4</v>
      </c>
      <c r="F14" s="142">
        <v>5</v>
      </c>
      <c r="G14" s="142">
        <v>6</v>
      </c>
      <c r="H14" s="142">
        <v>7</v>
      </c>
      <c r="I14" s="142">
        <v>8</v>
      </c>
      <c r="J14" s="142">
        <v>9</v>
      </c>
      <c r="K14" s="142">
        <v>10</v>
      </c>
      <c r="L14" s="142">
        <v>11</v>
      </c>
      <c r="M14" s="142">
        <v>12</v>
      </c>
      <c r="N14" s="142">
        <v>13</v>
      </c>
      <c r="O14" s="312">
        <v>14</v>
      </c>
      <c r="P14" s="142">
        <v>15</v>
      </c>
      <c r="Q14" s="142">
        <v>16</v>
      </c>
      <c r="R14" s="142">
        <v>17</v>
      </c>
      <c r="S14" s="142">
        <v>18</v>
      </c>
      <c r="T14" s="142">
        <v>19</v>
      </c>
      <c r="U14" s="142">
        <v>20</v>
      </c>
      <c r="V14" s="142">
        <v>21</v>
      </c>
      <c r="W14" s="142">
        <v>22</v>
      </c>
      <c r="X14" s="142"/>
      <c r="Y14" s="142"/>
      <c r="Z14" s="142">
        <v>23</v>
      </c>
      <c r="AA14" s="142">
        <v>24</v>
      </c>
      <c r="AB14" s="142">
        <v>25</v>
      </c>
      <c r="AC14" s="142">
        <v>26</v>
      </c>
      <c r="AD14" s="142">
        <v>27</v>
      </c>
      <c r="AE14" s="142">
        <v>28</v>
      </c>
      <c r="AF14" s="142">
        <v>29</v>
      </c>
      <c r="AG14" s="142">
        <v>30</v>
      </c>
      <c r="AH14" s="142">
        <v>31</v>
      </c>
      <c r="AI14" s="142">
        <v>32</v>
      </c>
      <c r="AJ14" s="142">
        <v>33</v>
      </c>
      <c r="AK14" s="142">
        <v>34</v>
      </c>
    </row>
    <row r="15" spans="1:50" s="236" customFormat="1" ht="24" customHeight="1" x14ac:dyDescent="0.25">
      <c r="A15" s="232" t="s">
        <v>357</v>
      </c>
      <c r="B15" s="233"/>
      <c r="C15" s="234"/>
      <c r="D15" s="235"/>
      <c r="E15" s="235"/>
      <c r="F15" s="235"/>
      <c r="G15" s="235">
        <f>SUBTOTAL(9,G16:G17)</f>
        <v>27000000</v>
      </c>
      <c r="H15" s="235">
        <f t="shared" ref="H15:AK15" si="0">SUBTOTAL(9,H16:H17)</f>
        <v>5000000</v>
      </c>
      <c r="I15" s="235">
        <f t="shared" si="0"/>
        <v>4600000</v>
      </c>
      <c r="J15" s="235">
        <f t="shared" si="0"/>
        <v>1000000</v>
      </c>
      <c r="K15" s="235">
        <f t="shared" si="0"/>
        <v>6600000</v>
      </c>
      <c r="L15" s="235">
        <f t="shared" si="0"/>
        <v>800000</v>
      </c>
      <c r="M15" s="235">
        <f t="shared" si="0"/>
        <v>45000000</v>
      </c>
      <c r="N15" s="235">
        <f t="shared" si="0"/>
        <v>32000000</v>
      </c>
      <c r="O15" s="313">
        <f t="shared" si="0"/>
        <v>52</v>
      </c>
      <c r="P15" s="235">
        <f>SUBTOTAL(9,P16:P17)</f>
        <v>4600000</v>
      </c>
      <c r="Q15" s="235">
        <f t="shared" ref="Q15" si="1">SUBTOTAL(9,Q16:Q17)</f>
        <v>1000000</v>
      </c>
      <c r="R15" s="235">
        <f t="shared" ref="R15" si="2">SUBTOTAL(9,R16:R17)</f>
        <v>6600000</v>
      </c>
      <c r="S15" s="235">
        <f t="shared" ref="S15" si="3">SUBTOTAL(9,S16:S17)</f>
        <v>800000</v>
      </c>
      <c r="T15" s="235">
        <f t="shared" ref="T15" si="4">SUBTOTAL(9,T16:T17)</f>
        <v>0</v>
      </c>
      <c r="U15" s="235">
        <f t="shared" si="0"/>
        <v>0</v>
      </c>
      <c r="V15" s="235">
        <f t="shared" si="0"/>
        <v>8</v>
      </c>
      <c r="W15" s="235">
        <f t="shared" si="0"/>
        <v>1038462</v>
      </c>
      <c r="X15" s="235">
        <f t="shared" si="0"/>
        <v>0</v>
      </c>
      <c r="Y15" s="235">
        <f t="shared" si="0"/>
        <v>0</v>
      </c>
      <c r="Z15" s="235">
        <f t="shared" si="0"/>
        <v>0</v>
      </c>
      <c r="AA15" s="235">
        <f t="shared" si="0"/>
        <v>46038462</v>
      </c>
      <c r="AB15" s="235">
        <f t="shared" si="0"/>
        <v>6880000</v>
      </c>
      <c r="AC15" s="235">
        <f t="shared" si="0"/>
        <v>640000</v>
      </c>
      <c r="AD15" s="235">
        <f t="shared" si="0"/>
        <v>3360000</v>
      </c>
      <c r="AE15" s="235">
        <f t="shared" si="0"/>
        <v>0</v>
      </c>
      <c r="AF15" s="235">
        <f t="shared" si="0"/>
        <v>0</v>
      </c>
      <c r="AG15" s="235">
        <f t="shared" si="0"/>
        <v>31000000</v>
      </c>
      <c r="AH15" s="235">
        <f t="shared" si="0"/>
        <v>33000000</v>
      </c>
      <c r="AI15" s="235">
        <f t="shared" si="0"/>
        <v>610000</v>
      </c>
      <c r="AJ15" s="235">
        <f t="shared" si="0"/>
        <v>30500</v>
      </c>
      <c r="AK15" s="235">
        <f t="shared" si="0"/>
        <v>42647962</v>
      </c>
    </row>
    <row r="16" spans="1:50" s="241" customFormat="1" ht="39.75" customHeight="1" x14ac:dyDescent="0.25">
      <c r="A16" s="237">
        <v>1</v>
      </c>
      <c r="B16" s="238" t="str">
        <f>+'Bảng tổng hợp'!B4</f>
        <v>QL001</v>
      </c>
      <c r="C16" s="239" t="str">
        <f>IFERROR(VLOOKUP($B16,'Bảng tổng hợp'!$B:$BB,2,0),"")</f>
        <v>Phạm Đăng Anh Thư</v>
      </c>
      <c r="D16" s="240" t="str">
        <f>IFERROR(VLOOKUP($B16,'Bảng tổng hợp'!$B:$BB,3,0),"")</f>
        <v>HĐLĐ</v>
      </c>
      <c r="E16" s="240" t="str">
        <f>IFERROR(VLOOKUP($B16,'Bảng tổng hợp'!$B:$BB,4,0),"")</f>
        <v>Tổng Giám Đốc</v>
      </c>
      <c r="F16" s="240" t="str">
        <f>IFERROR(VLOOKUP($B16,'Bảng tổng hợp'!$B:$BB,5,0),"")</f>
        <v>Ban giám đốc</v>
      </c>
      <c r="G16" s="240">
        <f>IFERROR(VLOOKUP($B16,'Bảng tổng hợp'!$B:$BB,7,0),"")</f>
        <v>15000000</v>
      </c>
      <c r="H16" s="240">
        <f>IFERROR(VLOOKUP($B16,'Bảng tổng hợp'!$B:$BB,8,0),"")</f>
        <v>3000000</v>
      </c>
      <c r="I16" s="240">
        <f>IFERROR(VLOOKUP($B16,'Bảng tổng hợp'!$B:$BB,9,0),"")</f>
        <v>2600000</v>
      </c>
      <c r="J16" s="240">
        <f>IFERROR(VLOOKUP($B16,'Bảng tổng hợp'!$B:$BB,10,0),"")</f>
        <v>0</v>
      </c>
      <c r="K16" s="240">
        <f>IFERROR(VLOOKUP($B16,'Bảng tổng hợp'!$B:$BB,11,0),"")</f>
        <v>4000000</v>
      </c>
      <c r="L16" s="240">
        <f>IFERROR(VLOOKUP($B16,'Bảng tổng hợp'!$B:$BB,12,0),"")</f>
        <v>400000</v>
      </c>
      <c r="M16" s="240">
        <f>IFERROR(VLOOKUP($B16,'Bảng tổng hợp'!$B:$BB,13,0),"")</f>
        <v>25000000</v>
      </c>
      <c r="N16" s="240">
        <f>IFERROR(VLOOKUP($B16,'Bảng tổng hợp'!$B:$BB,6,0),"")</f>
        <v>18000000</v>
      </c>
      <c r="O16" s="314">
        <f>VLOOKUP(B16,'Bảng tổng hợp'!$B$4:$O$47,14,0)</f>
        <v>26</v>
      </c>
      <c r="P16" s="240">
        <f>VLOOKUP(B16,'Bảng tổng hợp'!$B$4:$AA$41,23,0)</f>
        <v>2600000</v>
      </c>
      <c r="Q16" s="240">
        <f>VLOOKUP(B16,'Bảng tổng hợp'!$B$4:$AA$41,24,0)</f>
        <v>0</v>
      </c>
      <c r="R16" s="240">
        <f>VLOOKUP(B16,'Bảng tổng hợp'!$B$4:$AA$41,25,0)</f>
        <v>4000000</v>
      </c>
      <c r="S16" s="240">
        <f>VLOOKUP(B16,'Bảng tổng hợp'!$B$4:$AA$41,26,0)</f>
        <v>400000</v>
      </c>
      <c r="T16" s="240">
        <f>IFERROR(VLOOKUP($B16,'Bảng tổng hợp'!$B:$BB,15,0),"")</f>
        <v>0</v>
      </c>
      <c r="U16" s="240">
        <f>IFERROR(VLOOKUP($B16,'Bảng tổng hợp'!$B:$BB,16,0),"")</f>
        <v>0</v>
      </c>
      <c r="V16" s="314">
        <f>VLOOKUP($B16,'Bảng tổng hợp'!$B:$BB,17,0)</f>
        <v>8</v>
      </c>
      <c r="W16" s="240">
        <f>IFERROR(VLOOKUP($B16,'Bảng tổng hợp'!$B:$BB,18,0),"")</f>
        <v>1038462</v>
      </c>
      <c r="X16" s="314">
        <f>VLOOKUP($B16,'Bảng tổng hợp'!$B:$BB,19,0)</f>
        <v>0</v>
      </c>
      <c r="Y16" s="240">
        <f>IFERROR(VLOOKUP($B16,'Bảng tổng hợp'!$B:$BB,20,0),"")</f>
        <v>0</v>
      </c>
      <c r="Z16" s="240">
        <f>IFERROR(VLOOKUP($B16,'Bảng tổng hợp'!$B:$BB,27,0),"")</f>
        <v>0</v>
      </c>
      <c r="AA16" s="240">
        <f>IFERROR(VLOOKUP($B16,'Bảng tổng hợp'!$B:$BB,28,0),"")</f>
        <v>26038462</v>
      </c>
      <c r="AB16" s="240">
        <f>IFERROR(VLOOKUP($B16,'Bảng tổng hợp'!$B:$BB,38,0),"")</f>
        <v>3870000</v>
      </c>
      <c r="AC16" s="240">
        <f>IFERROR(VLOOKUP($B16,'Bảng tổng hợp'!$B:$BB,39,0),"")</f>
        <v>360000</v>
      </c>
      <c r="AD16" s="240">
        <f>IFERROR(VLOOKUP($B16,'Bảng tổng hợp'!$B:$BB,43,0),"")</f>
        <v>1890000</v>
      </c>
      <c r="AE16" s="240">
        <f>IFERROR(VLOOKUP($B16,'Bảng tổng hợp'!$B:$BB,44,0),"")</f>
        <v>0</v>
      </c>
      <c r="AF16" s="240">
        <f>IFERROR(VLOOKUP($B16,'Bảng tổng hợp'!$B:$BB,52,0),"")</f>
        <v>0</v>
      </c>
      <c r="AG16" s="240">
        <f>IFERROR(VLOOKUP($B16,'Bảng tổng hợp'!$B:$BB,48,0),"")</f>
        <v>15500000</v>
      </c>
      <c r="AH16" s="240">
        <f>IFERROR(VLOOKUP($B16,'Bảng tổng hợp'!$B:$BB,49,0),"")</f>
        <v>18000000</v>
      </c>
      <c r="AI16" s="240">
        <f>IFERROR(VLOOKUP($B16,'Bảng tổng hợp'!$B:$BB,50,0),"")</f>
        <v>610000</v>
      </c>
      <c r="AJ16" s="240">
        <f>IFERROR(VLOOKUP($B16,'Bảng tổng hợp'!$B:$BB,51,0),"")</f>
        <v>30500</v>
      </c>
      <c r="AK16" s="240">
        <f>IFERROR(VLOOKUP($B16,'Bảng tổng hợp'!$B:$BB,53,0),"")</f>
        <v>24117962</v>
      </c>
    </row>
    <row r="17" spans="1:37" s="241" customFormat="1" ht="39.75" customHeight="1" x14ac:dyDescent="0.25">
      <c r="A17" s="237">
        <v>2</v>
      </c>
      <c r="B17" s="238" t="str">
        <f>+'Bảng tổng hợp'!B5</f>
        <v>QL002</v>
      </c>
      <c r="C17" s="239" t="str">
        <f>IFERROR(VLOOKUP($B17,'Bảng tổng hợp'!$B:$BB,2,0),"")</f>
        <v>Nguyễn Diệp Anh Tuấn</v>
      </c>
      <c r="D17" s="240" t="str">
        <f>IFERROR(VLOOKUP($B17,'Bảng tổng hợp'!$B:$BB,3,0),"")</f>
        <v>HĐLĐ</v>
      </c>
      <c r="E17" s="240" t="str">
        <f>IFERROR(VLOOKUP($B17,'Bảng tổng hợp'!$B:$BB,4,0),"")</f>
        <v>Giám Đốc</v>
      </c>
      <c r="F17" s="240" t="str">
        <f>IFERROR(VLOOKUP($B17,'Bảng tổng hợp'!$B:$BB,5,0),"")</f>
        <v>Ban giám đốc</v>
      </c>
      <c r="G17" s="240">
        <f>IFERROR(VLOOKUP($B17,'Bảng tổng hợp'!$B:$BB,7,0),"")</f>
        <v>12000000</v>
      </c>
      <c r="H17" s="240">
        <f>IFERROR(VLOOKUP($B17,'Bảng tổng hợp'!$B:$BB,8,0),"")</f>
        <v>2000000</v>
      </c>
      <c r="I17" s="240">
        <f>IFERROR(VLOOKUP($B17,'Bảng tổng hợp'!$B:$BB,9,0),"")</f>
        <v>2000000</v>
      </c>
      <c r="J17" s="240">
        <f>IFERROR(VLOOKUP($B17,'Bảng tổng hợp'!$B:$BB,10,0),"")</f>
        <v>1000000</v>
      </c>
      <c r="K17" s="240">
        <f>IFERROR(VLOOKUP($B17,'Bảng tổng hợp'!$B:$BB,11,0),"")</f>
        <v>2600000</v>
      </c>
      <c r="L17" s="240">
        <f>IFERROR(VLOOKUP($B17,'Bảng tổng hợp'!$B:$BB,12,0),"")</f>
        <v>400000</v>
      </c>
      <c r="M17" s="240">
        <f>IFERROR(VLOOKUP($B17,'Bảng tổng hợp'!$B:$BB,13,0),"")</f>
        <v>20000000</v>
      </c>
      <c r="N17" s="240">
        <f>IFERROR(VLOOKUP($B17,'Bảng tổng hợp'!$B:$BB,6,0),"")</f>
        <v>14000000</v>
      </c>
      <c r="O17" s="314">
        <f>VLOOKUP(B17,'Bảng tổng hợp'!$B$4:$O$47,14,0)</f>
        <v>26</v>
      </c>
      <c r="P17" s="240">
        <f>VLOOKUP(B17,'Bảng tổng hợp'!$B$4:$AA$41,23,0)</f>
        <v>2000000</v>
      </c>
      <c r="Q17" s="240">
        <f>VLOOKUP(B17,'Bảng tổng hợp'!$B$4:$AA$41,24,0)</f>
        <v>1000000</v>
      </c>
      <c r="R17" s="240">
        <f>VLOOKUP(B17,'Bảng tổng hợp'!$B$4:$AA$41,25,0)</f>
        <v>2600000</v>
      </c>
      <c r="S17" s="240">
        <f>VLOOKUP(B17,'Bảng tổng hợp'!$B$4:$AA$41,26,0)</f>
        <v>400000</v>
      </c>
      <c r="T17" s="240">
        <f>IFERROR(VLOOKUP($B17,'Bảng tổng hợp'!$B:$BB,15,0),"")</f>
        <v>0</v>
      </c>
      <c r="U17" s="240">
        <f>IFERROR(VLOOKUP($B17,'Bảng tổng hợp'!$B:$BB,16,0),"")</f>
        <v>0</v>
      </c>
      <c r="V17" s="314">
        <f>VLOOKUP($B17,'Bảng tổng hợp'!$B:$BB,17,0)</f>
        <v>0</v>
      </c>
      <c r="W17" s="240">
        <f>IFERROR(VLOOKUP($B17,'Bảng tổng hợp'!$B:$BB,18,0),"")</f>
        <v>0</v>
      </c>
      <c r="X17" s="314">
        <f>VLOOKUP($B17,'Bảng tổng hợp'!$B:$BB,19,0)</f>
        <v>0</v>
      </c>
      <c r="Y17" s="240">
        <f>IFERROR(VLOOKUP($B17,'Bảng tổng hợp'!$B:$BB,20,0),"")</f>
        <v>0</v>
      </c>
      <c r="Z17" s="240">
        <f>IFERROR(VLOOKUP($B17,'Bảng tổng hợp'!$B:$BB,27,0),"")</f>
        <v>0</v>
      </c>
      <c r="AA17" s="240">
        <f>IFERROR(VLOOKUP($B17,'Bảng tổng hợp'!$B:$BB,28,0),"")</f>
        <v>20000000</v>
      </c>
      <c r="AB17" s="240">
        <f>IFERROR(VLOOKUP($B17,'Bảng tổng hợp'!$B:$BB,38,0),"")</f>
        <v>3010000</v>
      </c>
      <c r="AC17" s="240">
        <f>IFERROR(VLOOKUP($B17,'Bảng tổng hợp'!$B:$BB,39,0),"")</f>
        <v>280000</v>
      </c>
      <c r="AD17" s="240">
        <f>IFERROR(VLOOKUP($B17,'Bảng tổng hợp'!$B:$BB,43,0),"")</f>
        <v>1470000</v>
      </c>
      <c r="AE17" s="240">
        <f>IFERROR(VLOOKUP($B17,'Bảng tổng hợp'!$B:$BB,44,0),"")</f>
        <v>0</v>
      </c>
      <c r="AF17" s="240">
        <f>IFERROR(VLOOKUP($B17,'Bảng tổng hợp'!$B:$BB,52,0),"")</f>
        <v>0</v>
      </c>
      <c r="AG17" s="240">
        <f>IFERROR(VLOOKUP($B17,'Bảng tổng hợp'!$B:$BB,48,0),"")</f>
        <v>15500000</v>
      </c>
      <c r="AH17" s="240">
        <f>IFERROR(VLOOKUP($B17,'Bảng tổng hợp'!$B:$BB,49,0),"")</f>
        <v>15000000</v>
      </c>
      <c r="AI17" s="240">
        <f>IFERROR(VLOOKUP($B17,'Bảng tổng hợp'!$B:$BB,50,0),"")</f>
        <v>0</v>
      </c>
      <c r="AJ17" s="240">
        <f>IFERROR(VLOOKUP($B17,'Bảng tổng hợp'!$B:$BB,51,0),"")</f>
        <v>0</v>
      </c>
      <c r="AK17" s="240">
        <f>IFERROR(VLOOKUP($B17,'Bảng tổng hợp'!$B:$BB,53,0),"")</f>
        <v>18530000</v>
      </c>
    </row>
    <row r="18" spans="1:37" s="241" customFormat="1" ht="24" customHeight="1" x14ac:dyDescent="0.25">
      <c r="A18" s="242" t="s">
        <v>287</v>
      </c>
      <c r="B18" s="243"/>
      <c r="C18" s="244"/>
      <c r="D18" s="240"/>
      <c r="E18" s="240"/>
      <c r="F18" s="240"/>
      <c r="G18" s="235">
        <f>SUBTOTAL(9,G19:G26)</f>
        <v>51500000</v>
      </c>
      <c r="H18" s="235">
        <f t="shared" ref="H18:M18" si="5">SUBTOTAL(9,H19:H26)</f>
        <v>5000000</v>
      </c>
      <c r="I18" s="235">
        <f t="shared" si="5"/>
        <v>9100000</v>
      </c>
      <c r="J18" s="235">
        <f t="shared" si="5"/>
        <v>3500000</v>
      </c>
      <c r="K18" s="235">
        <f t="shared" si="5"/>
        <v>2700000</v>
      </c>
      <c r="L18" s="235">
        <f t="shared" si="5"/>
        <v>3100000</v>
      </c>
      <c r="M18" s="235">
        <f t="shared" si="5"/>
        <v>74900000</v>
      </c>
      <c r="N18" s="235">
        <f t="shared" ref="N18" si="6">SUBTOTAL(9,N19:N26)</f>
        <v>56500000</v>
      </c>
      <c r="O18" s="235">
        <f t="shared" ref="O18" si="7">SUBTOTAL(9,O19:O26)</f>
        <v>204</v>
      </c>
      <c r="P18" s="235">
        <f t="shared" ref="P18" si="8">SUBTOTAL(9,P19:P26)</f>
        <v>8934615.384615384</v>
      </c>
      <c r="Q18" s="235">
        <f t="shared" ref="Q18" si="9">SUBTOTAL(9,Q19:Q26)</f>
        <v>3423076.9230769235</v>
      </c>
      <c r="R18" s="235">
        <f t="shared" ref="R18" si="10">SUBTOTAL(9,R19:R26)</f>
        <v>2638461.5384615385</v>
      </c>
      <c r="S18" s="235">
        <f t="shared" ref="S18" si="11">SUBTOTAL(9,S19:S26)</f>
        <v>3100000</v>
      </c>
      <c r="T18" s="235">
        <f t="shared" ref="T18" si="12">SUBTOTAL(9,T19:T26)</f>
        <v>4</v>
      </c>
      <c r="U18" s="235">
        <f t="shared" ref="U18" si="13">SUBTOTAL(9,U19:U26)</f>
        <v>1000000</v>
      </c>
      <c r="V18" s="235">
        <f t="shared" ref="V18:X18" si="14">SUBTOTAL(9,V19:V26)</f>
        <v>123.7</v>
      </c>
      <c r="W18" s="235">
        <f t="shared" ref="W18:Y18" si="15">SUBTOTAL(9,W19:W26)</f>
        <v>5720192</v>
      </c>
      <c r="X18" s="235">
        <f t="shared" si="14"/>
        <v>48.58</v>
      </c>
      <c r="Y18" s="235">
        <f t="shared" si="15"/>
        <v>3269809</v>
      </c>
      <c r="Z18" s="235">
        <f t="shared" ref="Z18" si="16">SUBTOTAL(9,Z19:Z26)</f>
        <v>0</v>
      </c>
      <c r="AA18" s="235">
        <f t="shared" ref="AA18" si="17">SUBTOTAL(9,AA19:AA26)</f>
        <v>83586154.84615384</v>
      </c>
      <c r="AB18" s="235">
        <f t="shared" ref="AB18" si="18">SUBTOTAL(9,AB19:AB26)</f>
        <v>12147500</v>
      </c>
      <c r="AC18" s="235">
        <f t="shared" ref="AC18" si="19">SUBTOTAL(9,AC19:AC26)</f>
        <v>1130000</v>
      </c>
      <c r="AD18" s="235">
        <f t="shared" ref="AD18" si="20">SUBTOTAL(9,AD19:AD26)</f>
        <v>5932500</v>
      </c>
      <c r="AE18" s="235">
        <f t="shared" ref="AE18" si="21">SUBTOTAL(9,AE19:AE26)</f>
        <v>0</v>
      </c>
      <c r="AF18" s="235">
        <f t="shared" ref="AF18" si="22">SUBTOTAL(9,AF19:AF26)</f>
        <v>0</v>
      </c>
      <c r="AG18" s="235">
        <f t="shared" ref="AG18" si="23">SUBTOTAL(9,AG19:AG26)</f>
        <v>124000000</v>
      </c>
      <c r="AH18" s="235">
        <f t="shared" ref="AH18" si="24">SUBTOTAL(9,AH19:AH26)</f>
        <v>60077692</v>
      </c>
      <c r="AI18" s="235">
        <f t="shared" ref="AI18" si="25">SUBTOTAL(9,AI19:AI26)</f>
        <v>0</v>
      </c>
      <c r="AJ18" s="235">
        <f t="shared" ref="AJ18" si="26">SUBTOTAL(9,AJ19:AJ26)</f>
        <v>0</v>
      </c>
      <c r="AK18" s="235">
        <f t="shared" ref="AK18" si="27">SUBTOTAL(9,AK19:AK26)</f>
        <v>77653655</v>
      </c>
    </row>
    <row r="19" spans="1:37" s="241" customFormat="1" ht="39.75" customHeight="1" x14ac:dyDescent="0.25">
      <c r="A19" s="237">
        <f>+A17+1</f>
        <v>3</v>
      </c>
      <c r="B19" s="238" t="str">
        <f>+'Bảng tổng hợp'!B6</f>
        <v>NV003</v>
      </c>
      <c r="C19" s="239" t="str">
        <f>IFERROR(VLOOKUP($B19,'Bảng tổng hợp'!$B:$BB,2,0),"")</f>
        <v>Nguyễn Diệu Quý Chi</v>
      </c>
      <c r="D19" s="240" t="str">
        <f>IFERROR(VLOOKUP($B19,'Bảng tổng hợp'!$B:$BB,3,0),"")</f>
        <v>HĐLĐ</v>
      </c>
      <c r="E19" s="240" t="str">
        <f>IFERROR(VLOOKUP($B19,'Bảng tổng hợp'!$B:$BB,4,0),"")</f>
        <v>Trưởng phòng</v>
      </c>
      <c r="F19" s="240" t="str">
        <f>IFERROR(VLOOKUP($B19,'Bảng tổng hợp'!$B:$BB,5,0),"")</f>
        <v xml:space="preserve">Kinh doanh </v>
      </c>
      <c r="G19" s="240">
        <f>IFERROR(VLOOKUP($B19,'Bảng tổng hợp'!$B:$BB,7,0),"")</f>
        <v>7500000</v>
      </c>
      <c r="H19" s="240">
        <f>IFERROR(VLOOKUP($B19,'Bảng tổng hợp'!$B:$BB,8,0),"")</f>
        <v>1000000</v>
      </c>
      <c r="I19" s="240">
        <f>IFERROR(VLOOKUP($B19,'Bảng tổng hợp'!$B:$BB,9,0),"")</f>
        <v>1800000</v>
      </c>
      <c r="J19" s="240">
        <f>IFERROR(VLOOKUP($B19,'Bảng tổng hợp'!$B:$BB,10,0),"")</f>
        <v>500000</v>
      </c>
      <c r="K19" s="240">
        <f>IFERROR(VLOOKUP($B19,'Bảng tổng hợp'!$B:$BB,11,0),"")</f>
        <v>400000</v>
      </c>
      <c r="L19" s="240">
        <f>IFERROR(VLOOKUP($B19,'Bảng tổng hợp'!$B:$BB,12,0),"")</f>
        <v>400000</v>
      </c>
      <c r="M19" s="240">
        <f>IFERROR(VLOOKUP($B19,'Bảng tổng hợp'!$B:$BB,13,0),"")</f>
        <v>11600000</v>
      </c>
      <c r="N19" s="240">
        <f>IFERROR(VLOOKUP($B19,'Bảng tổng hợp'!$B:$BB,6,0),"")</f>
        <v>8500000</v>
      </c>
      <c r="O19" s="314">
        <f>VLOOKUP(B19,'Bảng tổng hợp'!$B$4:$O$47,14,0)</f>
        <v>26</v>
      </c>
      <c r="P19" s="240">
        <f>VLOOKUP(B19,'Bảng tổng hợp'!$B$4:$AA$41,23,0)</f>
        <v>1800000</v>
      </c>
      <c r="Q19" s="240">
        <f>VLOOKUP(B19,'Bảng tổng hợp'!$B$4:$AA$41,24,0)</f>
        <v>500000</v>
      </c>
      <c r="R19" s="240">
        <f>VLOOKUP(B19,'Bảng tổng hợp'!$B$4:$AA$41,25,0)</f>
        <v>400000</v>
      </c>
      <c r="S19" s="240">
        <f>VLOOKUP(B19,'Bảng tổng hợp'!$B$4:$AA$41,26,0)</f>
        <v>400000</v>
      </c>
      <c r="T19" s="240">
        <f>IFERROR(VLOOKUP($B19,'Bảng tổng hợp'!$B:$BB,15,0),"")</f>
        <v>0</v>
      </c>
      <c r="U19" s="240">
        <f>IFERROR(VLOOKUP($B19,'Bảng tổng hợp'!$B:$BB,16,0),"")</f>
        <v>0</v>
      </c>
      <c r="V19" s="314">
        <f>VLOOKUP($B19,'Bảng tổng hợp'!$B:$BB,17,0)</f>
        <v>0</v>
      </c>
      <c r="W19" s="240">
        <f>IFERROR(VLOOKUP($B19,'Bảng tổng hợp'!$B:$BB,18,0),"")</f>
        <v>0</v>
      </c>
      <c r="X19" s="314">
        <f>VLOOKUP($B19,'Bảng tổng hợp'!$B:$BB,19,0)</f>
        <v>0</v>
      </c>
      <c r="Y19" s="240">
        <f>IFERROR(VLOOKUP($B19,'Bảng tổng hợp'!$B:$BB,20,0),"")</f>
        <v>0</v>
      </c>
      <c r="Z19" s="240">
        <f>IFERROR(VLOOKUP($B19,'Bảng tổng hợp'!$B:$BB,27,0),"")</f>
        <v>0</v>
      </c>
      <c r="AA19" s="240">
        <f>IFERROR(VLOOKUP($B19,'Bảng tổng hợp'!$B:$BB,28,0),"")</f>
        <v>11600000</v>
      </c>
      <c r="AB19" s="240">
        <f>IFERROR(VLOOKUP($B19,'Bảng tổng hợp'!$B:$BB,38,0),"")</f>
        <v>1827500</v>
      </c>
      <c r="AC19" s="240">
        <f>IFERROR(VLOOKUP($B19,'Bảng tổng hợp'!$B:$BB,39,0),"")</f>
        <v>170000</v>
      </c>
      <c r="AD19" s="240">
        <f>IFERROR(VLOOKUP($B19,'Bảng tổng hợp'!$B:$BB,43,0),"")</f>
        <v>892500</v>
      </c>
      <c r="AE19" s="240">
        <f>IFERROR(VLOOKUP($B19,'Bảng tổng hợp'!$B:$BB,44,0),"")</f>
        <v>0</v>
      </c>
      <c r="AF19" s="240">
        <f>IFERROR(VLOOKUP($B19,'Bảng tổng hợp'!$B:$BB,52,0),"")</f>
        <v>0</v>
      </c>
      <c r="AG19" s="240">
        <f>IFERROR(VLOOKUP($B19,'Bảng tổng hợp'!$B:$BB,48,0),"")</f>
        <v>15500000</v>
      </c>
      <c r="AH19" s="240">
        <f>IFERROR(VLOOKUP($B19,'Bảng tổng hợp'!$B:$BB,49,0),"")</f>
        <v>9000000</v>
      </c>
      <c r="AI19" s="240">
        <f>IFERROR(VLOOKUP($B19,'Bảng tổng hợp'!$B:$BB,50,0),"")</f>
        <v>0</v>
      </c>
      <c r="AJ19" s="240">
        <f>IFERROR(VLOOKUP($B19,'Bảng tổng hợp'!$B:$BB,51,0),"")</f>
        <v>0</v>
      </c>
      <c r="AK19" s="240">
        <f>IFERROR(VLOOKUP($B19,'Bảng tổng hợp'!$B:$BB,53,0),"")</f>
        <v>10707500</v>
      </c>
    </row>
    <row r="20" spans="1:37" s="241" customFormat="1" ht="39.75" customHeight="1" x14ac:dyDescent="0.25">
      <c r="A20" s="237">
        <v>4</v>
      </c>
      <c r="B20" s="238" t="str">
        <f>+'Bảng tổng hợp'!B7</f>
        <v>NV004</v>
      </c>
      <c r="C20" s="239" t="str">
        <f>IFERROR(VLOOKUP($B20,'Bảng tổng hợp'!$B:$BB,2,0),"")</f>
        <v>Phạm Đăng Anh Thảo</v>
      </c>
      <c r="D20" s="240" t="str">
        <f>IFERROR(VLOOKUP($B20,'Bảng tổng hợp'!$B:$BB,3,0),"")</f>
        <v>HĐLĐ</v>
      </c>
      <c r="E20" s="240" t="str">
        <f>IFERROR(VLOOKUP($B20,'Bảng tổng hợp'!$B:$BB,4,0),"")</f>
        <v>Phó phòng</v>
      </c>
      <c r="F20" s="240" t="str">
        <f>IFERROR(VLOOKUP($B20,'Bảng tổng hợp'!$B:$BB,5,0),"")</f>
        <v xml:space="preserve">Kinh doanh </v>
      </c>
      <c r="G20" s="240">
        <f>IFERROR(VLOOKUP($B20,'Bảng tổng hợp'!$B:$BB,7,0),"")</f>
        <v>7000000</v>
      </c>
      <c r="H20" s="240">
        <f>IFERROR(VLOOKUP($B20,'Bảng tổng hợp'!$B:$BB,8,0),"")</f>
        <v>1000000</v>
      </c>
      <c r="I20" s="240">
        <f>IFERROR(VLOOKUP($B20,'Bảng tổng hợp'!$B:$BB,9,0),"")</f>
        <v>1300000</v>
      </c>
      <c r="J20" s="240">
        <f>IFERROR(VLOOKUP($B20,'Bảng tổng hợp'!$B:$BB,10,0),"")</f>
        <v>500000</v>
      </c>
      <c r="K20" s="240">
        <f>IFERROR(VLOOKUP($B20,'Bảng tổng hợp'!$B:$BB,11,0),"")</f>
        <v>400000</v>
      </c>
      <c r="L20" s="240">
        <f>IFERROR(VLOOKUP($B20,'Bảng tổng hợp'!$B:$BB,12,0),"")</f>
        <v>400000</v>
      </c>
      <c r="M20" s="240">
        <f>IFERROR(VLOOKUP($B20,'Bảng tổng hợp'!$B:$BB,13,0),"")</f>
        <v>10600000</v>
      </c>
      <c r="N20" s="240">
        <f>IFERROR(VLOOKUP($B20,'Bảng tổng hợp'!$B:$BB,6,0),"")</f>
        <v>8000000</v>
      </c>
      <c r="O20" s="314">
        <f>VLOOKUP(B20,'Bảng tổng hợp'!$B$4:$O$47,14,0)</f>
        <v>25</v>
      </c>
      <c r="P20" s="240">
        <f>VLOOKUP(B20,'Bảng tổng hợp'!$B$4:$AA$41,23,0)</f>
        <v>1250000</v>
      </c>
      <c r="Q20" s="240">
        <f>VLOOKUP(B20,'Bảng tổng hợp'!$B$4:$AA$41,24,0)</f>
        <v>480769.23076923075</v>
      </c>
      <c r="R20" s="240">
        <f>VLOOKUP(B20,'Bảng tổng hợp'!$B$4:$AA$41,25,0)</f>
        <v>384615.38461538462</v>
      </c>
      <c r="S20" s="240">
        <f>VLOOKUP(B20,'Bảng tổng hợp'!$B$4:$AA$41,26,0)</f>
        <v>400000</v>
      </c>
      <c r="T20" s="240">
        <f>IFERROR(VLOOKUP($B20,'Bảng tổng hợp'!$B:$BB,15,0),"")</f>
        <v>1</v>
      </c>
      <c r="U20" s="240">
        <f>IFERROR(VLOOKUP($B20,'Bảng tổng hợp'!$B:$BB,16,0),"")</f>
        <v>307692.30769230769</v>
      </c>
      <c r="V20" s="314">
        <f>VLOOKUP($B20,'Bảng tổng hợp'!$B:$BB,17,0)</f>
        <v>0</v>
      </c>
      <c r="W20" s="240">
        <f>IFERROR(VLOOKUP($B20,'Bảng tổng hợp'!$B:$BB,18,0),"")</f>
        <v>0</v>
      </c>
      <c r="X20" s="314">
        <f>VLOOKUP($B20,'Bảng tổng hợp'!$B:$BB,19,0)</f>
        <v>0</v>
      </c>
      <c r="Y20" s="240">
        <f>IFERROR(VLOOKUP($B20,'Bảng tổng hợp'!$B:$BB,20,0),"")</f>
        <v>0</v>
      </c>
      <c r="Z20" s="240">
        <f>IFERROR(VLOOKUP($B20,'Bảng tổng hợp'!$B:$BB,27,0),"")</f>
        <v>0</v>
      </c>
      <c r="AA20" s="240">
        <f>IFERROR(VLOOKUP($B20,'Bảng tổng hợp'!$B:$BB,28,0),"")</f>
        <v>10515384.615384614</v>
      </c>
      <c r="AB20" s="240">
        <f>IFERROR(VLOOKUP($B20,'Bảng tổng hợp'!$B:$BB,38,0),"")</f>
        <v>1720000</v>
      </c>
      <c r="AC20" s="240">
        <f>IFERROR(VLOOKUP($B20,'Bảng tổng hợp'!$B:$BB,39,0),"")</f>
        <v>160000</v>
      </c>
      <c r="AD20" s="240">
        <f>IFERROR(VLOOKUP($B20,'Bảng tổng hợp'!$B:$BB,43,0),"")</f>
        <v>840000</v>
      </c>
      <c r="AE20" s="240">
        <f>IFERROR(VLOOKUP($B20,'Bảng tổng hợp'!$B:$BB,44,0),"")</f>
        <v>0</v>
      </c>
      <c r="AF20" s="240">
        <f>IFERROR(VLOOKUP($B20,'Bảng tổng hợp'!$B:$BB,52,0),"")</f>
        <v>0</v>
      </c>
      <c r="AG20" s="240">
        <f>IFERROR(VLOOKUP($B20,'Bảng tổng hợp'!$B:$BB,48,0),"")</f>
        <v>15500000</v>
      </c>
      <c r="AH20" s="240">
        <f>IFERROR(VLOOKUP($B20,'Bảng tổng hợp'!$B:$BB,49,0),"")</f>
        <v>8480769</v>
      </c>
      <c r="AI20" s="240">
        <f>IFERROR(VLOOKUP($B20,'Bảng tổng hợp'!$B:$BB,50,0),"")</f>
        <v>0</v>
      </c>
      <c r="AJ20" s="240">
        <f>IFERROR(VLOOKUP($B20,'Bảng tổng hợp'!$B:$BB,51,0),"")</f>
        <v>0</v>
      </c>
      <c r="AK20" s="240">
        <f>IFERROR(VLOOKUP($B20,'Bảng tổng hợp'!$B:$BB,53,0),"")</f>
        <v>9675385</v>
      </c>
    </row>
    <row r="21" spans="1:37" s="241" customFormat="1" ht="39.75" customHeight="1" x14ac:dyDescent="0.25">
      <c r="A21" s="237">
        <v>5</v>
      </c>
      <c r="B21" s="238" t="str">
        <f>+'Bảng tổng hợp'!B8</f>
        <v>NV011</v>
      </c>
      <c r="C21" s="239" t="str">
        <f>IFERROR(VLOOKUP($B21,'Bảng tổng hợp'!$B:$BB,2,0),"")</f>
        <v>Nguyễn Thành Long</v>
      </c>
      <c r="D21" s="240" t="str">
        <f>IFERROR(VLOOKUP($B21,'Bảng tổng hợp'!$B:$BB,3,0),"")</f>
        <v>HĐLĐ</v>
      </c>
      <c r="E21" s="240" t="str">
        <f>IFERROR(VLOOKUP($B21,'Bảng tổng hợp'!$B:$BB,4,0),"")</f>
        <v>Nhân viên</v>
      </c>
      <c r="F21" s="240" t="str">
        <f>IFERROR(VLOOKUP($B21,'Bảng tổng hợp'!$B:$BB,5,0),"")</f>
        <v xml:space="preserve">Kinh doanh </v>
      </c>
      <c r="G21" s="240">
        <f>IFERROR(VLOOKUP($B21,'Bảng tổng hợp'!$B:$BB,7,0),"")</f>
        <v>6500000</v>
      </c>
      <c r="H21" s="240">
        <f>IFERROR(VLOOKUP($B21,'Bảng tổng hợp'!$B:$BB,8,0),"")</f>
        <v>500000</v>
      </c>
      <c r="I21" s="240">
        <f>IFERROR(VLOOKUP($B21,'Bảng tổng hợp'!$B:$BB,9,0),"")</f>
        <v>1000000</v>
      </c>
      <c r="J21" s="240">
        <f>IFERROR(VLOOKUP($B21,'Bảng tổng hợp'!$B:$BB,10,0),"")</f>
        <v>500000</v>
      </c>
      <c r="K21" s="240">
        <f>IFERROR(VLOOKUP($B21,'Bảng tổng hợp'!$B:$BB,11,0),"")</f>
        <v>300000</v>
      </c>
      <c r="L21" s="240">
        <f>IFERROR(VLOOKUP($B21,'Bảng tổng hợp'!$B:$BB,12,0),"")</f>
        <v>400000</v>
      </c>
      <c r="M21" s="240">
        <f>IFERROR(VLOOKUP($B21,'Bảng tổng hợp'!$B:$BB,13,0),"")</f>
        <v>9200000</v>
      </c>
      <c r="N21" s="240">
        <f>IFERROR(VLOOKUP($B21,'Bảng tổng hợp'!$B:$BB,6,0),"")</f>
        <v>7000000</v>
      </c>
      <c r="O21" s="314">
        <f>VLOOKUP(B21,'Bảng tổng hợp'!$B$4:$O$47,14,0)</f>
        <v>26</v>
      </c>
      <c r="P21" s="240">
        <f>VLOOKUP(B21,'Bảng tổng hợp'!$B$4:$AA$41,23,0)</f>
        <v>1000000</v>
      </c>
      <c r="Q21" s="240">
        <f>VLOOKUP(B21,'Bảng tổng hợp'!$B$4:$AA$41,24,0)</f>
        <v>500000</v>
      </c>
      <c r="R21" s="240">
        <f>VLOOKUP(B21,'Bảng tổng hợp'!$B$4:$AA$41,25,0)</f>
        <v>300000</v>
      </c>
      <c r="S21" s="240">
        <f>VLOOKUP(B21,'Bảng tổng hợp'!$B$4:$AA$41,26,0)</f>
        <v>400000</v>
      </c>
      <c r="T21" s="240">
        <f>IFERROR(VLOOKUP($B21,'Bảng tổng hợp'!$B:$BB,15,0),"")</f>
        <v>0</v>
      </c>
      <c r="U21" s="240">
        <f>IFERROR(VLOOKUP($B21,'Bảng tổng hợp'!$B:$BB,16,0),"")</f>
        <v>0</v>
      </c>
      <c r="V21" s="314">
        <f>VLOOKUP($B21,'Bảng tổng hợp'!$B:$BB,17,0)</f>
        <v>8</v>
      </c>
      <c r="W21" s="240">
        <f>IFERROR(VLOOKUP($B21,'Bảng tổng hợp'!$B:$BB,18,0),"")</f>
        <v>403846</v>
      </c>
      <c r="X21" s="314">
        <f>VLOOKUP($B21,'Bảng tổng hợp'!$B:$BB,19,0)</f>
        <v>16</v>
      </c>
      <c r="Y21" s="240">
        <f>IFERROR(VLOOKUP($B21,'Bảng tổng hợp'!$B:$BB,20,0),"")</f>
        <v>1076923</v>
      </c>
      <c r="Z21" s="240">
        <f>IFERROR(VLOOKUP($B21,'Bảng tổng hợp'!$B:$BB,27,0),"")</f>
        <v>0</v>
      </c>
      <c r="AA21" s="240">
        <f>IFERROR(VLOOKUP($B21,'Bảng tổng hợp'!$B:$BB,28,0),"")</f>
        <v>10680769</v>
      </c>
      <c r="AB21" s="240">
        <f>IFERROR(VLOOKUP($B21,'Bảng tổng hợp'!$B:$BB,38,0),"")</f>
        <v>1505000</v>
      </c>
      <c r="AC21" s="240">
        <f>IFERROR(VLOOKUP($B21,'Bảng tổng hợp'!$B:$BB,39,0),"")</f>
        <v>140000</v>
      </c>
      <c r="AD21" s="240">
        <f>IFERROR(VLOOKUP($B21,'Bảng tổng hợp'!$B:$BB,43,0),"")</f>
        <v>735000</v>
      </c>
      <c r="AE21" s="240">
        <f>IFERROR(VLOOKUP($B21,'Bảng tổng hợp'!$B:$BB,44,0),"")</f>
        <v>0</v>
      </c>
      <c r="AF21" s="240">
        <f>IFERROR(VLOOKUP($B21,'Bảng tổng hợp'!$B:$BB,52,0),"")</f>
        <v>0</v>
      </c>
      <c r="AG21" s="240">
        <f>IFERROR(VLOOKUP($B21,'Bảng tổng hợp'!$B:$BB,48,0),"")</f>
        <v>15500000</v>
      </c>
      <c r="AH21" s="240">
        <f>IFERROR(VLOOKUP($B21,'Bảng tổng hợp'!$B:$BB,49,0),"")</f>
        <v>7500000</v>
      </c>
      <c r="AI21" s="240">
        <f>IFERROR(VLOOKUP($B21,'Bảng tổng hợp'!$B:$BB,50,0),"")</f>
        <v>0</v>
      </c>
      <c r="AJ21" s="240">
        <f>IFERROR(VLOOKUP($B21,'Bảng tổng hợp'!$B:$BB,51,0),"")</f>
        <v>0</v>
      </c>
      <c r="AK21" s="240">
        <f>IFERROR(VLOOKUP($B21,'Bảng tổng hợp'!$B:$BB,53,0),"")</f>
        <v>9945769</v>
      </c>
    </row>
    <row r="22" spans="1:37" s="241" customFormat="1" ht="39.75" customHeight="1" x14ac:dyDescent="0.25">
      <c r="A22" s="237">
        <v>6</v>
      </c>
      <c r="B22" s="238" t="str">
        <f>+'Bảng tổng hợp'!B9</f>
        <v>NV012</v>
      </c>
      <c r="C22" s="239" t="str">
        <f>IFERROR(VLOOKUP($B22,'Bảng tổng hợp'!$B:$BB,2,0),"")</f>
        <v>Nguyễn Thị Đài Trang</v>
      </c>
      <c r="D22" s="240" t="str">
        <f>IFERROR(VLOOKUP($B22,'Bảng tổng hợp'!$B:$BB,3,0),"")</f>
        <v>HĐLĐ</v>
      </c>
      <c r="E22" s="240" t="str">
        <f>IFERROR(VLOOKUP($B22,'Bảng tổng hợp'!$B:$BB,4,0),"")</f>
        <v>Nhân viên</v>
      </c>
      <c r="F22" s="240" t="str">
        <f>IFERROR(VLOOKUP($B22,'Bảng tổng hợp'!$B:$BB,5,0),"")</f>
        <v xml:space="preserve">Kinh doanh </v>
      </c>
      <c r="G22" s="240">
        <f>IFERROR(VLOOKUP($B22,'Bảng tổng hợp'!$B:$BB,7,0),"")</f>
        <v>6500000</v>
      </c>
      <c r="H22" s="240">
        <f>IFERROR(VLOOKUP($B22,'Bảng tổng hợp'!$B:$BB,8,0),"")</f>
        <v>500000</v>
      </c>
      <c r="I22" s="240">
        <f>IFERROR(VLOOKUP($B22,'Bảng tổng hợp'!$B:$BB,9,0),"")</f>
        <v>1000000</v>
      </c>
      <c r="J22" s="240">
        <f>IFERROR(VLOOKUP($B22,'Bảng tổng hợp'!$B:$BB,10,0),"")</f>
        <v>500000</v>
      </c>
      <c r="K22" s="240">
        <f>IFERROR(VLOOKUP($B22,'Bảng tổng hợp'!$B:$BB,11,0),"")</f>
        <v>300000</v>
      </c>
      <c r="L22" s="240">
        <f>IFERROR(VLOOKUP($B22,'Bảng tổng hợp'!$B:$BB,12,0),"")</f>
        <v>400000</v>
      </c>
      <c r="M22" s="240">
        <f>IFERROR(VLOOKUP($B22,'Bảng tổng hợp'!$B:$BB,13,0),"")</f>
        <v>9200000</v>
      </c>
      <c r="N22" s="240">
        <f>IFERROR(VLOOKUP($B22,'Bảng tổng hợp'!$B:$BB,6,0),"")</f>
        <v>7000000</v>
      </c>
      <c r="O22" s="314">
        <f>VLOOKUP(B22,'Bảng tổng hợp'!$B$4:$O$47,14,0)</f>
        <v>26</v>
      </c>
      <c r="P22" s="240">
        <f>VLOOKUP(B22,'Bảng tổng hợp'!$B$4:$AA$41,23,0)</f>
        <v>1000000</v>
      </c>
      <c r="Q22" s="240">
        <f>VLOOKUP(B22,'Bảng tổng hợp'!$B$4:$AA$41,24,0)</f>
        <v>500000</v>
      </c>
      <c r="R22" s="240">
        <f>VLOOKUP(B22,'Bảng tổng hợp'!$B$4:$AA$41,25,0)</f>
        <v>300000</v>
      </c>
      <c r="S22" s="240">
        <f>VLOOKUP(B22,'Bảng tổng hợp'!$B$4:$AA$41,26,0)</f>
        <v>400000</v>
      </c>
      <c r="T22" s="240">
        <f>IFERROR(VLOOKUP($B22,'Bảng tổng hợp'!$B:$BB,15,0),"")</f>
        <v>0</v>
      </c>
      <c r="U22" s="240">
        <f>IFERROR(VLOOKUP($B22,'Bảng tổng hợp'!$B:$BB,16,0),"")</f>
        <v>0</v>
      </c>
      <c r="V22" s="314">
        <f>VLOOKUP($B22,'Bảng tổng hợp'!$B:$BB,17,0)</f>
        <v>25.950000000000003</v>
      </c>
      <c r="W22" s="240">
        <f>IFERROR(VLOOKUP($B22,'Bảng tổng hợp'!$B:$BB,18,0),"")</f>
        <v>1309976</v>
      </c>
      <c r="X22" s="314">
        <f>VLOOKUP($B22,'Bảng tổng hợp'!$B:$BB,19,0)</f>
        <v>8</v>
      </c>
      <c r="Y22" s="240">
        <f>IFERROR(VLOOKUP($B22,'Bảng tổng hợp'!$B:$BB,20,0),"")</f>
        <v>538462</v>
      </c>
      <c r="Z22" s="240">
        <f>IFERROR(VLOOKUP($B22,'Bảng tổng hợp'!$B:$BB,27,0),"")</f>
        <v>0</v>
      </c>
      <c r="AA22" s="240">
        <f>IFERROR(VLOOKUP($B22,'Bảng tổng hợp'!$B:$BB,28,0),"")</f>
        <v>11048438</v>
      </c>
      <c r="AB22" s="240">
        <f>IFERROR(VLOOKUP($B22,'Bảng tổng hợp'!$B:$BB,38,0),"")</f>
        <v>1505000</v>
      </c>
      <c r="AC22" s="240">
        <f>IFERROR(VLOOKUP($B22,'Bảng tổng hợp'!$B:$BB,39,0),"")</f>
        <v>140000</v>
      </c>
      <c r="AD22" s="240">
        <f>IFERROR(VLOOKUP($B22,'Bảng tổng hợp'!$B:$BB,43,0),"")</f>
        <v>735000</v>
      </c>
      <c r="AE22" s="240">
        <f>IFERROR(VLOOKUP($B22,'Bảng tổng hợp'!$B:$BB,44,0),"")</f>
        <v>0</v>
      </c>
      <c r="AF22" s="240">
        <f>IFERROR(VLOOKUP($B22,'Bảng tổng hợp'!$B:$BB,52,0),"")</f>
        <v>0</v>
      </c>
      <c r="AG22" s="240">
        <f>IFERROR(VLOOKUP($B22,'Bảng tổng hợp'!$B:$BB,48,0),"")</f>
        <v>15500000</v>
      </c>
      <c r="AH22" s="240">
        <f>IFERROR(VLOOKUP($B22,'Bảng tổng hợp'!$B:$BB,49,0),"")</f>
        <v>7500000</v>
      </c>
      <c r="AI22" s="240">
        <f>IFERROR(VLOOKUP($B22,'Bảng tổng hợp'!$B:$BB,50,0),"")</f>
        <v>0</v>
      </c>
      <c r="AJ22" s="240">
        <f>IFERROR(VLOOKUP($B22,'Bảng tổng hợp'!$B:$BB,51,0),"")</f>
        <v>0</v>
      </c>
      <c r="AK22" s="240">
        <f>IFERROR(VLOOKUP($B22,'Bảng tổng hợp'!$B:$BB,53,0),"")</f>
        <v>10313438</v>
      </c>
    </row>
    <row r="23" spans="1:37" s="241" customFormat="1" ht="39.75" customHeight="1" x14ac:dyDescent="0.25">
      <c r="A23" s="237">
        <v>7</v>
      </c>
      <c r="B23" s="238" t="str">
        <f>+'Bảng tổng hợp'!B10</f>
        <v>NV027</v>
      </c>
      <c r="C23" s="239" t="str">
        <f>IFERROR(VLOOKUP($B23,'Bảng tổng hợp'!$B:$BB,2,0),"")</f>
        <v>Lê Thị Hiếu</v>
      </c>
      <c r="D23" s="240" t="str">
        <f>IFERROR(VLOOKUP($B23,'Bảng tổng hợp'!$B:$BB,3,0),"")</f>
        <v>HĐLĐ</v>
      </c>
      <c r="E23" s="240" t="str">
        <f>IFERROR(VLOOKUP($B23,'Bảng tổng hợp'!$B:$BB,4,0),"")</f>
        <v>Nhân viên</v>
      </c>
      <c r="F23" s="240" t="str">
        <f>IFERROR(VLOOKUP($B23,'Bảng tổng hợp'!$B:$BB,5,0),"")</f>
        <v xml:space="preserve">Kinh doanh </v>
      </c>
      <c r="G23" s="240">
        <f>IFERROR(VLOOKUP($B23,'Bảng tổng hợp'!$B:$BB,7,0),"")</f>
        <v>6500000</v>
      </c>
      <c r="H23" s="240">
        <f>IFERROR(VLOOKUP($B23,'Bảng tổng hợp'!$B:$BB,8,0),"")</f>
        <v>500000</v>
      </c>
      <c r="I23" s="240">
        <f>IFERROR(VLOOKUP($B23,'Bảng tổng hợp'!$B:$BB,9,0),"")</f>
        <v>1000000</v>
      </c>
      <c r="J23" s="240">
        <f>IFERROR(VLOOKUP($B23,'Bảng tổng hợp'!$B:$BB,10,0),"")</f>
        <v>500000</v>
      </c>
      <c r="K23" s="240">
        <f>IFERROR(VLOOKUP($B23,'Bảng tổng hợp'!$B:$BB,11,0),"")</f>
        <v>300000</v>
      </c>
      <c r="L23" s="240">
        <f>IFERROR(VLOOKUP($B23,'Bảng tổng hợp'!$B:$BB,12,0),"")</f>
        <v>400000</v>
      </c>
      <c r="M23" s="240">
        <f>IFERROR(VLOOKUP($B23,'Bảng tổng hợp'!$B:$BB,13,0),"")</f>
        <v>9200000</v>
      </c>
      <c r="N23" s="240">
        <f>IFERROR(VLOOKUP($B23,'Bảng tổng hợp'!$B:$BB,6,0),"")</f>
        <v>7000000</v>
      </c>
      <c r="O23" s="314">
        <f>VLOOKUP(B23,'Bảng tổng hợp'!$B$4:$O$47,14,0)</f>
        <v>26</v>
      </c>
      <c r="P23" s="240">
        <f>VLOOKUP(B23,'Bảng tổng hợp'!$B$4:$AA$41,23,0)</f>
        <v>1000000</v>
      </c>
      <c r="Q23" s="240">
        <f>VLOOKUP(B23,'Bảng tổng hợp'!$B$4:$AA$41,24,0)</f>
        <v>500000</v>
      </c>
      <c r="R23" s="240">
        <f>VLOOKUP(B23,'Bảng tổng hợp'!$B$4:$AA$41,25,0)</f>
        <v>300000</v>
      </c>
      <c r="S23" s="240">
        <f>VLOOKUP(B23,'Bảng tổng hợp'!$B$4:$AA$41,26,0)</f>
        <v>400000</v>
      </c>
      <c r="T23" s="240">
        <f>IFERROR(VLOOKUP($B23,'Bảng tổng hợp'!$B:$BB,15,0),"")</f>
        <v>0</v>
      </c>
      <c r="U23" s="240">
        <f>IFERROR(VLOOKUP($B23,'Bảng tổng hợp'!$B:$BB,16,0),"")</f>
        <v>0</v>
      </c>
      <c r="V23" s="314">
        <f>VLOOKUP($B23,'Bảng tổng hợp'!$B:$BB,17,0)</f>
        <v>8.25</v>
      </c>
      <c r="W23" s="240">
        <f>IFERROR(VLOOKUP($B23,'Bảng tổng hợp'!$B:$BB,18,0),"")</f>
        <v>416466</v>
      </c>
      <c r="X23" s="314">
        <f>VLOOKUP($B23,'Bảng tổng hợp'!$B:$BB,19,0)</f>
        <v>16.579999999999998</v>
      </c>
      <c r="Y23" s="240">
        <f>IFERROR(VLOOKUP($B23,'Bảng tổng hợp'!$B:$BB,20,0),"")</f>
        <v>1115962</v>
      </c>
      <c r="Z23" s="240">
        <f>IFERROR(VLOOKUP($B23,'Bảng tổng hợp'!$B:$BB,27,0),"")</f>
        <v>0</v>
      </c>
      <c r="AA23" s="240">
        <f>IFERROR(VLOOKUP($B23,'Bảng tổng hợp'!$B:$BB,28,0),"")</f>
        <v>10732428</v>
      </c>
      <c r="AB23" s="240">
        <f>IFERROR(VLOOKUP($B23,'Bảng tổng hợp'!$B:$BB,38,0),"")</f>
        <v>1505000</v>
      </c>
      <c r="AC23" s="240">
        <f>IFERROR(VLOOKUP($B23,'Bảng tổng hợp'!$B:$BB,39,0),"")</f>
        <v>140000</v>
      </c>
      <c r="AD23" s="240">
        <f>IFERROR(VLOOKUP($B23,'Bảng tổng hợp'!$B:$BB,43,0),"")</f>
        <v>735000</v>
      </c>
      <c r="AE23" s="240">
        <f>IFERROR(VLOOKUP($B23,'Bảng tổng hợp'!$B:$BB,44,0),"")</f>
        <v>0</v>
      </c>
      <c r="AF23" s="240">
        <f>IFERROR(VLOOKUP($B23,'Bảng tổng hợp'!$B:$BB,52,0),"")</f>
        <v>0</v>
      </c>
      <c r="AG23" s="240">
        <f>IFERROR(VLOOKUP($B23,'Bảng tổng hợp'!$B:$BB,48,0),"")</f>
        <v>15500000</v>
      </c>
      <c r="AH23" s="240">
        <f>IFERROR(VLOOKUP($B23,'Bảng tổng hợp'!$B:$BB,49,0),"")</f>
        <v>7500000</v>
      </c>
      <c r="AI23" s="240">
        <f>IFERROR(VLOOKUP($B23,'Bảng tổng hợp'!$B:$BB,50,0),"")</f>
        <v>0</v>
      </c>
      <c r="AJ23" s="240">
        <f>IFERROR(VLOOKUP($B23,'Bảng tổng hợp'!$B:$BB,51,0),"")</f>
        <v>0</v>
      </c>
      <c r="AK23" s="240">
        <f>IFERROR(VLOOKUP($B23,'Bảng tổng hợp'!$B:$BB,53,0),"")</f>
        <v>9997428</v>
      </c>
    </row>
    <row r="24" spans="1:37" s="241" customFormat="1" ht="39.75" customHeight="1" x14ac:dyDescent="0.25">
      <c r="A24" s="237">
        <v>8</v>
      </c>
      <c r="B24" s="238" t="str">
        <f>+'Bảng tổng hợp'!B11</f>
        <v>NV030</v>
      </c>
      <c r="C24" s="239" t="str">
        <f>IFERROR(VLOOKUP($B24,'Bảng tổng hợp'!$B:$BB,2,0),"")</f>
        <v>Vương Thị Ngọc Như</v>
      </c>
      <c r="D24" s="240" t="str">
        <f>IFERROR(VLOOKUP($B24,'Bảng tổng hợp'!$B:$BB,3,0),"")</f>
        <v>HĐLĐ</v>
      </c>
      <c r="E24" s="240" t="str">
        <f>IFERROR(VLOOKUP($B24,'Bảng tổng hợp'!$B:$BB,4,0),"")</f>
        <v>Nhân viên tư vấn</v>
      </c>
      <c r="F24" s="240" t="str">
        <f>IFERROR(VLOOKUP($B24,'Bảng tổng hợp'!$B:$BB,5,0),"")</f>
        <v xml:space="preserve">Kinh doanh </v>
      </c>
      <c r="G24" s="240">
        <f>IFERROR(VLOOKUP($B24,'Bảng tổng hợp'!$B:$BB,7,0),"")</f>
        <v>5500000</v>
      </c>
      <c r="H24" s="240">
        <f>IFERROR(VLOOKUP($B24,'Bảng tổng hợp'!$B:$BB,8,0),"")</f>
        <v>500000</v>
      </c>
      <c r="I24" s="240">
        <f>IFERROR(VLOOKUP($B24,'Bảng tổng hợp'!$B:$BB,9,0),"")</f>
        <v>1000000</v>
      </c>
      <c r="J24" s="240">
        <f>IFERROR(VLOOKUP($B24,'Bảng tổng hợp'!$B:$BB,10,0),"")</f>
        <v>0</v>
      </c>
      <c r="K24" s="240">
        <f>IFERROR(VLOOKUP($B24,'Bảng tổng hợp'!$B:$BB,11,0),"")</f>
        <v>200000</v>
      </c>
      <c r="L24" s="240">
        <f>IFERROR(VLOOKUP($B24,'Bảng tổng hợp'!$B:$BB,12,0),"")</f>
        <v>300000</v>
      </c>
      <c r="M24" s="240">
        <f>IFERROR(VLOOKUP($B24,'Bảng tổng hợp'!$B:$BB,13,0),"")</f>
        <v>7500000</v>
      </c>
      <c r="N24" s="240">
        <f>IFERROR(VLOOKUP($B24,'Bảng tổng hợp'!$B:$BB,6,0),"")</f>
        <v>6000000</v>
      </c>
      <c r="O24" s="314">
        <f>VLOOKUP(B24,'Bảng tổng hợp'!$B$4:$O$47,14,0)</f>
        <v>26</v>
      </c>
      <c r="P24" s="240">
        <f>VLOOKUP(B24,'Bảng tổng hợp'!$B$4:$AA$41,23,0)</f>
        <v>1000000</v>
      </c>
      <c r="Q24" s="240">
        <f>VLOOKUP(B24,'Bảng tổng hợp'!$B$4:$AA$41,24,0)</f>
        <v>0</v>
      </c>
      <c r="R24" s="240">
        <f>VLOOKUP(B24,'Bảng tổng hợp'!$B$4:$AA$41,25,0)</f>
        <v>200000</v>
      </c>
      <c r="S24" s="240">
        <f>VLOOKUP(B24,'Bảng tổng hợp'!$B$4:$AA$41,26,0)</f>
        <v>300000</v>
      </c>
      <c r="T24" s="240">
        <f>IFERROR(VLOOKUP($B24,'Bảng tổng hợp'!$B:$BB,15,0),"")</f>
        <v>2</v>
      </c>
      <c r="U24" s="240">
        <f>IFERROR(VLOOKUP($B24,'Bảng tổng hợp'!$B:$BB,16,0),"")</f>
        <v>461538.46153846156</v>
      </c>
      <c r="V24" s="314">
        <f>VLOOKUP($B24,'Bảng tổng hợp'!$B:$BB,17,0)</f>
        <v>38.83</v>
      </c>
      <c r="W24" s="240">
        <f>IFERROR(VLOOKUP($B24,'Bảng tổng hợp'!$B:$BB,18,0),"")</f>
        <v>1680144</v>
      </c>
      <c r="X24" s="314">
        <f>VLOOKUP($B24,'Bảng tổng hợp'!$B:$BB,19,0)</f>
        <v>0</v>
      </c>
      <c r="Y24" s="240">
        <f>IFERROR(VLOOKUP($B24,'Bảng tổng hợp'!$B:$BB,20,0),"")</f>
        <v>0</v>
      </c>
      <c r="Z24" s="240">
        <f>IFERROR(VLOOKUP($B24,'Bảng tổng hợp'!$B:$BB,27,0),"")</f>
        <v>0</v>
      </c>
      <c r="AA24" s="240">
        <f>IFERROR(VLOOKUP($B24,'Bảng tổng hợp'!$B:$BB,28,0),"")</f>
        <v>9641682.461538462</v>
      </c>
      <c r="AB24" s="240">
        <f>IFERROR(VLOOKUP($B24,'Bảng tổng hợp'!$B:$BB,38,0),"")</f>
        <v>1290000</v>
      </c>
      <c r="AC24" s="240">
        <f>IFERROR(VLOOKUP($B24,'Bảng tổng hợp'!$B:$BB,39,0),"")</f>
        <v>120000</v>
      </c>
      <c r="AD24" s="240">
        <f>IFERROR(VLOOKUP($B24,'Bảng tổng hợp'!$B:$BB,43,0),"")</f>
        <v>630000</v>
      </c>
      <c r="AE24" s="240">
        <f>IFERROR(VLOOKUP($B24,'Bảng tổng hợp'!$B:$BB,44,0),"")</f>
        <v>0</v>
      </c>
      <c r="AF24" s="240">
        <f>IFERROR(VLOOKUP($B24,'Bảng tổng hợp'!$B:$BB,52,0),"")</f>
        <v>0</v>
      </c>
      <c r="AG24" s="240">
        <f>IFERROR(VLOOKUP($B24,'Bảng tổng hợp'!$B:$BB,48,0),"")</f>
        <v>15500000</v>
      </c>
      <c r="AH24" s="240">
        <f>IFERROR(VLOOKUP($B24,'Bảng tổng hợp'!$B:$BB,49,0),"")</f>
        <v>6461538</v>
      </c>
      <c r="AI24" s="240">
        <f>IFERROR(VLOOKUP($B24,'Bảng tổng hợp'!$B:$BB,50,0),"")</f>
        <v>0</v>
      </c>
      <c r="AJ24" s="240">
        <f>IFERROR(VLOOKUP($B24,'Bảng tổng hợp'!$B:$BB,51,0),"")</f>
        <v>0</v>
      </c>
      <c r="AK24" s="240">
        <f>IFERROR(VLOOKUP($B24,'Bảng tổng hợp'!$B:$BB,53,0),"")</f>
        <v>9011682</v>
      </c>
    </row>
    <row r="25" spans="1:37" s="241" customFormat="1" ht="39.75" customHeight="1" x14ac:dyDescent="0.25">
      <c r="A25" s="237">
        <v>9</v>
      </c>
      <c r="B25" s="238" t="str">
        <f>'Bảng tổng hợp'!B37</f>
        <v>NV038</v>
      </c>
      <c r="C25" s="239" t="str">
        <f>IFERROR(VLOOKUP($B25,'Bảng tổng hợp'!$B:$BB,2,0),"")</f>
        <v>Phạm Thị Kim Trang</v>
      </c>
      <c r="D25" s="240" t="str">
        <f>IFERROR(VLOOKUP($B25,'Bảng tổng hợp'!$B:$BB,3,0),"")</f>
        <v>HĐLĐ</v>
      </c>
      <c r="E25" s="240" t="str">
        <f>IFERROR(VLOOKUP($B25,'Bảng tổng hợp'!$B:$BB,4,0),"")</f>
        <v>Nhân viên</v>
      </c>
      <c r="F25" s="240" t="str">
        <f>IFERROR(VLOOKUP($B25,'Bảng tổng hợp'!$B:$BB,5,0),"")</f>
        <v xml:space="preserve">Kinh doanh </v>
      </c>
      <c r="G25" s="240">
        <f>IFERROR(VLOOKUP($B25,'Bảng tổng hợp'!$B:$BB,7,0),"")</f>
        <v>6500000</v>
      </c>
      <c r="H25" s="240">
        <f>IFERROR(VLOOKUP($B25,'Bảng tổng hợp'!$B:$BB,8,0),"")</f>
        <v>500000</v>
      </c>
      <c r="I25" s="240">
        <f>IFERROR(VLOOKUP($B25,'Bảng tổng hợp'!$B:$BB,9,0),"")</f>
        <v>1000000</v>
      </c>
      <c r="J25" s="240">
        <f>IFERROR(VLOOKUP($B25,'Bảng tổng hợp'!$B:$BB,10,0),"")</f>
        <v>500000</v>
      </c>
      <c r="K25" s="240">
        <f>IFERROR(VLOOKUP($B25,'Bảng tổng hợp'!$B:$BB,11,0),"")</f>
        <v>400000</v>
      </c>
      <c r="L25" s="240">
        <f>IFERROR(VLOOKUP($B25,'Bảng tổng hợp'!$B:$BB,12,0),"")</f>
        <v>400000</v>
      </c>
      <c r="M25" s="240">
        <f>IFERROR(VLOOKUP($B25,'Bảng tổng hợp'!$B:$BB,13,0),"")</f>
        <v>9300000</v>
      </c>
      <c r="N25" s="240">
        <f>IFERROR(VLOOKUP($B25,'Bảng tổng hợp'!$B:$BB,6,0),"")</f>
        <v>7000000</v>
      </c>
      <c r="O25" s="314">
        <f>VLOOKUP(B25,'Bảng tổng hợp'!$B$4:$O$47,14,0)</f>
        <v>26</v>
      </c>
      <c r="P25" s="240">
        <f>VLOOKUP(B25,'Bảng tổng hợp'!$B$4:$AA$41,23,0)</f>
        <v>1000000</v>
      </c>
      <c r="Q25" s="240">
        <f>VLOOKUP(B25,'Bảng tổng hợp'!$B$4:$AA$41,24,0)</f>
        <v>500000</v>
      </c>
      <c r="R25" s="240">
        <f>VLOOKUP(B25,'Bảng tổng hợp'!$B$4:$AA$41,25,0)</f>
        <v>400000</v>
      </c>
      <c r="S25" s="240">
        <f>VLOOKUP(B25,'Bảng tổng hợp'!$B$4:$AA$41,26,0)</f>
        <v>400000</v>
      </c>
      <c r="T25" s="240">
        <f>IFERROR(VLOOKUP($B25,'Bảng tổng hợp'!$B:$BB,15,0),"")</f>
        <v>0</v>
      </c>
      <c r="U25" s="240">
        <f>IFERROR(VLOOKUP($B25,'Bảng tổng hợp'!$B:$BB,16,0),"")</f>
        <v>0</v>
      </c>
      <c r="V25" s="314">
        <f>VLOOKUP($B25,'Bảng tổng hợp'!$B:$BB,17,0)</f>
        <v>8.8000000000000007</v>
      </c>
      <c r="W25" s="240">
        <f>IFERROR(VLOOKUP($B25,'Bảng tổng hợp'!$B:$BB,18,0),"")</f>
        <v>444231</v>
      </c>
      <c r="X25" s="314">
        <f>VLOOKUP($B25,'Bảng tổng hợp'!$B:$BB,19,0)</f>
        <v>8</v>
      </c>
      <c r="Y25" s="240">
        <f>IFERROR(VLOOKUP($B25,'Bảng tổng hợp'!$B:$BB,20,0),"")</f>
        <v>538462</v>
      </c>
      <c r="Z25" s="240">
        <f>IFERROR(VLOOKUP($B25,'Bảng tổng hợp'!$B:$BB,27,0),"")</f>
        <v>0</v>
      </c>
      <c r="AA25" s="240">
        <f>IFERROR(VLOOKUP($B25,'Bảng tổng hợp'!$B:$BB,28,0),"")</f>
        <v>10282693</v>
      </c>
      <c r="AB25" s="240">
        <f>IFERROR(VLOOKUP($B25,'Bảng tổng hợp'!$B:$BB,38,0),"")</f>
        <v>1505000</v>
      </c>
      <c r="AC25" s="240">
        <f>IFERROR(VLOOKUP($B25,'Bảng tổng hợp'!$B:$BB,39,0),"")</f>
        <v>140000</v>
      </c>
      <c r="AD25" s="240">
        <f>IFERROR(VLOOKUP($B25,'Bảng tổng hợp'!$B:$BB,43,0),"")</f>
        <v>735000</v>
      </c>
      <c r="AE25" s="240">
        <f>IFERROR(VLOOKUP($B25,'Bảng tổng hợp'!$B:$BB,44,0),"")</f>
        <v>0</v>
      </c>
      <c r="AF25" s="240">
        <f>IFERROR(VLOOKUP($B25,'Bảng tổng hợp'!$B:$BB,52,0),"")</f>
        <v>0</v>
      </c>
      <c r="AG25" s="240">
        <f>IFERROR(VLOOKUP($B25,'Bảng tổng hợp'!$B:$BB,48,0),"")</f>
        <v>15500000</v>
      </c>
      <c r="AH25" s="240">
        <f>IFERROR(VLOOKUP($B25,'Bảng tổng hợp'!$B:$BB,49,0),"")</f>
        <v>7500000</v>
      </c>
      <c r="AI25" s="240">
        <f>IFERROR(VLOOKUP($B25,'Bảng tổng hợp'!$B:$BB,50,0),"")</f>
        <v>0</v>
      </c>
      <c r="AJ25" s="240">
        <f>IFERROR(VLOOKUP($B25,'Bảng tổng hợp'!$B:$BB,51,0),"")</f>
        <v>0</v>
      </c>
      <c r="AK25" s="240">
        <f>IFERROR(VLOOKUP($B25,'Bảng tổng hợp'!$B:$BB,53,0),"")</f>
        <v>9547693</v>
      </c>
    </row>
    <row r="26" spans="1:37" s="241" customFormat="1" ht="39.75" customHeight="1" x14ac:dyDescent="0.25">
      <c r="A26" s="237">
        <v>10</v>
      </c>
      <c r="B26" s="238" t="str">
        <f>'Bảng tổng hợp'!B38</f>
        <v>NV039</v>
      </c>
      <c r="C26" s="239" t="str">
        <f>IFERROR(VLOOKUP($B26,'Bảng tổng hợp'!$B:$BB,2,0),"")</f>
        <v>Nguyễn Ngọc Hân</v>
      </c>
      <c r="D26" s="240" t="str">
        <f>IFERROR(VLOOKUP($B26,'Bảng tổng hợp'!$B:$BB,3,0),"")</f>
        <v>HĐLĐ</v>
      </c>
      <c r="E26" s="240" t="str">
        <f>IFERROR(VLOOKUP($B26,'Bảng tổng hợp'!$B:$BB,4,0),"")</f>
        <v>Nhân viên tư vấn</v>
      </c>
      <c r="F26" s="240" t="str">
        <f>IFERROR(VLOOKUP($B26,'Bảng tổng hợp'!$B:$BB,5,0),"")</f>
        <v xml:space="preserve">Kinh doanh </v>
      </c>
      <c r="G26" s="240">
        <f>IFERROR(VLOOKUP($B26,'Bảng tổng hợp'!$B:$BB,7,0),"")</f>
        <v>5500000</v>
      </c>
      <c r="H26" s="240">
        <f>IFERROR(VLOOKUP($B26,'Bảng tổng hợp'!$B:$BB,8,0),"")</f>
        <v>500000</v>
      </c>
      <c r="I26" s="240">
        <f>IFERROR(VLOOKUP($B26,'Bảng tổng hợp'!$B:$BB,9,0),"")</f>
        <v>1000000</v>
      </c>
      <c r="J26" s="240">
        <f>IFERROR(VLOOKUP($B26,'Bảng tổng hợp'!$B:$BB,10,0),"")</f>
        <v>500000</v>
      </c>
      <c r="K26" s="240">
        <f>IFERROR(VLOOKUP($B26,'Bảng tổng hợp'!$B:$BB,11,0),"")</f>
        <v>400000</v>
      </c>
      <c r="L26" s="240">
        <f>IFERROR(VLOOKUP($B26,'Bảng tổng hợp'!$B:$BB,12,0),"")</f>
        <v>400000</v>
      </c>
      <c r="M26" s="240">
        <f>IFERROR(VLOOKUP($B26,'Bảng tổng hợp'!$B:$BB,13,0),"")</f>
        <v>8300000</v>
      </c>
      <c r="N26" s="240">
        <f>IFERROR(VLOOKUP($B26,'Bảng tổng hợp'!$B:$BB,6,0),"")</f>
        <v>6000000</v>
      </c>
      <c r="O26" s="314">
        <f>VLOOKUP(B26,'Bảng tổng hợp'!$B$4:$O$47,14,0)</f>
        <v>23</v>
      </c>
      <c r="P26" s="240">
        <f>VLOOKUP(B26,'Bảng tổng hợp'!$B$4:$AA$41,23,0)</f>
        <v>884615.38461538462</v>
      </c>
      <c r="Q26" s="240">
        <f>VLOOKUP(B26,'Bảng tổng hợp'!$B$4:$AA$41,24,0)</f>
        <v>442307.69230769231</v>
      </c>
      <c r="R26" s="240">
        <f>VLOOKUP(B26,'Bảng tổng hợp'!$B$4:$AA$41,25,0)</f>
        <v>353846.15384615387</v>
      </c>
      <c r="S26" s="240">
        <f>VLOOKUP(B26,'Bảng tổng hợp'!$B$4:$AA$41,26,0)</f>
        <v>400000</v>
      </c>
      <c r="T26" s="240">
        <f>IFERROR(VLOOKUP($B26,'Bảng tổng hợp'!$B:$BB,15,0),"")</f>
        <v>1</v>
      </c>
      <c r="U26" s="240">
        <f>IFERROR(VLOOKUP($B26,'Bảng tổng hợp'!$B:$BB,16,0),"")</f>
        <v>230769.23076923078</v>
      </c>
      <c r="V26" s="314">
        <f>VLOOKUP($B26,'Bảng tổng hợp'!$B:$BB,17,0)</f>
        <v>33.870000000000005</v>
      </c>
      <c r="W26" s="240">
        <f>IFERROR(VLOOKUP($B26,'Bảng tổng hợp'!$B:$BB,18,0),"")</f>
        <v>1465529</v>
      </c>
      <c r="X26" s="314">
        <f>VLOOKUP($B26,'Bảng tổng hợp'!$B:$BB,19,0)</f>
        <v>0</v>
      </c>
      <c r="Y26" s="240">
        <f>IFERROR(VLOOKUP($B26,'Bảng tổng hợp'!$B:$BB,20,0),"")</f>
        <v>0</v>
      </c>
      <c r="Z26" s="240">
        <f>IFERROR(VLOOKUP($B26,'Bảng tổng hợp'!$B:$BB,27,0),"")</f>
        <v>0</v>
      </c>
      <c r="AA26" s="240">
        <f>IFERROR(VLOOKUP($B26,'Bảng tổng hợp'!$B:$BB,28,0),"")</f>
        <v>9084759.7692307681</v>
      </c>
      <c r="AB26" s="240">
        <f>IFERROR(VLOOKUP($B26,'Bảng tổng hợp'!$B:$BB,38,0),"")</f>
        <v>1290000</v>
      </c>
      <c r="AC26" s="240">
        <f>IFERROR(VLOOKUP($B26,'Bảng tổng hợp'!$B:$BB,39,0),"")</f>
        <v>120000</v>
      </c>
      <c r="AD26" s="240">
        <f>IFERROR(VLOOKUP($B26,'Bảng tổng hợp'!$B:$BB,43,0),"")</f>
        <v>630000</v>
      </c>
      <c r="AE26" s="240">
        <f>IFERROR(VLOOKUP($B26,'Bảng tổng hợp'!$B:$BB,44,0),"")</f>
        <v>0</v>
      </c>
      <c r="AF26" s="240">
        <f>IFERROR(VLOOKUP($B26,'Bảng tổng hợp'!$B:$BB,52,0),"")</f>
        <v>0</v>
      </c>
      <c r="AG26" s="240">
        <f>IFERROR(VLOOKUP($B26,'Bảng tổng hợp'!$B:$BB,48,0),"")</f>
        <v>15500000</v>
      </c>
      <c r="AH26" s="240">
        <f>IFERROR(VLOOKUP($B26,'Bảng tổng hợp'!$B:$BB,49,0),"")</f>
        <v>6135385</v>
      </c>
      <c r="AI26" s="240">
        <f>IFERROR(VLOOKUP($B26,'Bảng tổng hợp'!$B:$BB,50,0),"")</f>
        <v>0</v>
      </c>
      <c r="AJ26" s="240">
        <f>IFERROR(VLOOKUP($B26,'Bảng tổng hợp'!$B:$BB,51,0),"")</f>
        <v>0</v>
      </c>
      <c r="AK26" s="240">
        <f>IFERROR(VLOOKUP($B26,'Bảng tổng hợp'!$B:$BB,53,0),"")</f>
        <v>8454760</v>
      </c>
    </row>
    <row r="27" spans="1:37" s="241" customFormat="1" ht="24" customHeight="1" x14ac:dyDescent="0.25">
      <c r="A27" s="242" t="s">
        <v>297</v>
      </c>
      <c r="B27" s="243"/>
      <c r="C27" s="244"/>
      <c r="D27" s="240"/>
      <c r="E27" s="240"/>
      <c r="F27" s="240"/>
      <c r="G27" s="235">
        <f>SUBTOTAL(9,G28:G33)</f>
        <v>41000000</v>
      </c>
      <c r="H27" s="235">
        <f t="shared" ref="H27:AK27" si="28">SUBTOTAL(9,H28:H33)</f>
        <v>5000000</v>
      </c>
      <c r="I27" s="235">
        <f t="shared" si="28"/>
        <v>7400000</v>
      </c>
      <c r="J27" s="235">
        <f t="shared" si="28"/>
        <v>3500000</v>
      </c>
      <c r="K27" s="235">
        <f t="shared" si="28"/>
        <v>2400000</v>
      </c>
      <c r="L27" s="235">
        <f t="shared" si="28"/>
        <v>2400000</v>
      </c>
      <c r="M27" s="235">
        <f t="shared" si="28"/>
        <v>61700000</v>
      </c>
      <c r="N27" s="235">
        <f t="shared" si="28"/>
        <v>46000000</v>
      </c>
      <c r="O27" s="235">
        <f t="shared" si="28"/>
        <v>149</v>
      </c>
      <c r="P27" s="235">
        <f t="shared" si="28"/>
        <v>7046153.846153846</v>
      </c>
      <c r="Q27" s="235">
        <f t="shared" si="28"/>
        <v>3326923.076923077</v>
      </c>
      <c r="R27" s="235">
        <f t="shared" si="28"/>
        <v>2288461.5384615385</v>
      </c>
      <c r="S27" s="235">
        <f t="shared" si="28"/>
        <v>2400000</v>
      </c>
      <c r="T27" s="235">
        <f t="shared" si="28"/>
        <v>7</v>
      </c>
      <c r="U27" s="235">
        <f t="shared" si="28"/>
        <v>2076923.076923077</v>
      </c>
      <c r="V27" s="235">
        <f t="shared" si="28"/>
        <v>31.909999999999997</v>
      </c>
      <c r="W27" s="235">
        <f t="shared" si="28"/>
        <v>1648991</v>
      </c>
      <c r="X27" s="235">
        <f t="shared" si="28"/>
        <v>16</v>
      </c>
      <c r="Y27" s="235">
        <f t="shared" si="28"/>
        <v>1230770</v>
      </c>
      <c r="Z27" s="235">
        <f t="shared" si="28"/>
        <v>0</v>
      </c>
      <c r="AA27" s="235">
        <f t="shared" si="28"/>
        <v>63941299.461538464</v>
      </c>
      <c r="AB27" s="235">
        <f t="shared" si="28"/>
        <v>9890000</v>
      </c>
      <c r="AC27" s="235">
        <f t="shared" si="28"/>
        <v>920000</v>
      </c>
      <c r="AD27" s="235">
        <f t="shared" si="28"/>
        <v>4830000</v>
      </c>
      <c r="AE27" s="235">
        <f t="shared" si="28"/>
        <v>0</v>
      </c>
      <c r="AF27" s="235">
        <f t="shared" si="28"/>
        <v>0</v>
      </c>
      <c r="AG27" s="235">
        <f t="shared" si="28"/>
        <v>93000000</v>
      </c>
      <c r="AH27" s="235">
        <f t="shared" si="28"/>
        <v>49326922</v>
      </c>
      <c r="AI27" s="235">
        <f t="shared" si="28"/>
        <v>0</v>
      </c>
      <c r="AJ27" s="235">
        <f t="shared" si="28"/>
        <v>0</v>
      </c>
      <c r="AK27" s="235">
        <f t="shared" si="28"/>
        <v>59111299</v>
      </c>
    </row>
    <row r="28" spans="1:37" s="241" customFormat="1" ht="39.75" customHeight="1" x14ac:dyDescent="0.25">
      <c r="A28" s="237">
        <v>11</v>
      </c>
      <c r="B28" s="238" t="str">
        <f>+'Bảng tổng hợp'!B12</f>
        <v>NV001</v>
      </c>
      <c r="C28" s="239" t="str">
        <f>IFERROR(VLOOKUP($B28,'Bảng tổng hợp'!$B:$BB,2,0),"")</f>
        <v>Nguyễn Thị Châu Loan</v>
      </c>
      <c r="D28" s="240" t="str">
        <f>IFERROR(VLOOKUP($B28,'Bảng tổng hợp'!$B:$BB,3,0),"")</f>
        <v>HĐLĐ</v>
      </c>
      <c r="E28" s="240" t="str">
        <f>IFERROR(VLOOKUP($B28,'Bảng tổng hợp'!$B:$BB,4,0),"")</f>
        <v>Trưởng phòng</v>
      </c>
      <c r="F28" s="240" t="str">
        <f>IFERROR(VLOOKUP($B28,'Bảng tổng hợp'!$B:$BB,5,0),"")</f>
        <v>Logistic</v>
      </c>
      <c r="G28" s="240">
        <f>IFERROR(VLOOKUP($B28,'Bảng tổng hợp'!$B:$BB,7,0),"")</f>
        <v>7500000</v>
      </c>
      <c r="H28" s="240">
        <f>IFERROR(VLOOKUP($B28,'Bảng tổng hợp'!$B:$BB,8,0),"")</f>
        <v>1000000</v>
      </c>
      <c r="I28" s="240">
        <f>IFERROR(VLOOKUP($B28,'Bảng tổng hợp'!$B:$BB,9,0),"")</f>
        <v>1800000</v>
      </c>
      <c r="J28" s="240">
        <f>IFERROR(VLOOKUP($B28,'Bảng tổng hợp'!$B:$BB,10,0),"")</f>
        <v>500000</v>
      </c>
      <c r="K28" s="240">
        <f>IFERROR(VLOOKUP($B28,'Bảng tổng hợp'!$B:$BB,11,0),"")</f>
        <v>400000</v>
      </c>
      <c r="L28" s="240">
        <f>IFERROR(VLOOKUP($B28,'Bảng tổng hợp'!$B:$BB,12,0),"")</f>
        <v>400000</v>
      </c>
      <c r="M28" s="240">
        <f>IFERROR(VLOOKUP($B28,'Bảng tổng hợp'!$B:$BB,13,0),"")</f>
        <v>11600000</v>
      </c>
      <c r="N28" s="240">
        <f>IFERROR(VLOOKUP($B28,'Bảng tổng hợp'!$B:$BB,6,0),"")</f>
        <v>8500000</v>
      </c>
      <c r="O28" s="314">
        <f>VLOOKUP(B28,'Bảng tổng hợp'!$B$4:$O$47,14,0)</f>
        <v>24</v>
      </c>
      <c r="P28" s="240">
        <f>VLOOKUP(B28,'Bảng tổng hợp'!$B$4:$AA$41,23,0)</f>
        <v>1661538.4615384615</v>
      </c>
      <c r="Q28" s="240">
        <f>VLOOKUP(B28,'Bảng tổng hợp'!$B$4:$AA$41,24,0)</f>
        <v>461538.4615384615</v>
      </c>
      <c r="R28" s="240">
        <f>VLOOKUP(B28,'Bảng tổng hợp'!$B$4:$AA$41,25,0)</f>
        <v>369230.76923076925</v>
      </c>
      <c r="S28" s="240">
        <f>VLOOKUP(B28,'Bảng tổng hợp'!$B$4:$AA$41,26,0)</f>
        <v>400000</v>
      </c>
      <c r="T28" s="240">
        <f>IFERROR(VLOOKUP($B28,'Bảng tổng hợp'!$B:$BB,15,0),"")</f>
        <v>2</v>
      </c>
      <c r="U28" s="240">
        <f>IFERROR(VLOOKUP($B28,'Bảng tổng hợp'!$B:$BB,16,0),"")</f>
        <v>653846.15384615387</v>
      </c>
      <c r="V28" s="314">
        <f>VLOOKUP($B28,'Bảng tổng hợp'!$B:$BB,17,0)</f>
        <v>0</v>
      </c>
      <c r="W28" s="240">
        <f>IFERROR(VLOOKUP($B28,'Bảng tổng hợp'!$B:$BB,18,0),"")</f>
        <v>0</v>
      </c>
      <c r="X28" s="314">
        <f>VLOOKUP($B28,'Bảng tổng hợp'!$B:$BB,19,0)</f>
        <v>0</v>
      </c>
      <c r="Y28" s="240">
        <f>IFERROR(VLOOKUP($B28,'Bảng tổng hợp'!$B:$BB,20,0),"")</f>
        <v>0</v>
      </c>
      <c r="Z28" s="240">
        <f>IFERROR(VLOOKUP($B28,'Bảng tổng hợp'!$B:$BB,27,0),"")</f>
        <v>0</v>
      </c>
      <c r="AA28" s="240">
        <f>IFERROR(VLOOKUP($B28,'Bảng tổng hợp'!$B:$BB,28,0),"")</f>
        <v>11392307.692307692</v>
      </c>
      <c r="AB28" s="240">
        <f>IFERROR(VLOOKUP($B28,'Bảng tổng hợp'!$B:$BB,38,0),"")</f>
        <v>1827500</v>
      </c>
      <c r="AC28" s="240">
        <f>IFERROR(VLOOKUP($B28,'Bảng tổng hợp'!$B:$BB,39,0),"")</f>
        <v>170000</v>
      </c>
      <c r="AD28" s="240">
        <f>IFERROR(VLOOKUP($B28,'Bảng tổng hợp'!$B:$BB,43,0),"")</f>
        <v>892500</v>
      </c>
      <c r="AE28" s="240">
        <f>IFERROR(VLOOKUP($B28,'Bảng tổng hợp'!$B:$BB,44,0),"")</f>
        <v>0</v>
      </c>
      <c r="AF28" s="240">
        <f>IFERROR(VLOOKUP($B28,'Bảng tổng hợp'!$B:$BB,52,0),"")</f>
        <v>0</v>
      </c>
      <c r="AG28" s="240">
        <f>IFERROR(VLOOKUP($B28,'Bảng tổng hợp'!$B:$BB,48,0),"")</f>
        <v>15500000</v>
      </c>
      <c r="AH28" s="240">
        <f>IFERROR(VLOOKUP($B28,'Bảng tổng hợp'!$B:$BB,49,0),"")</f>
        <v>8961538</v>
      </c>
      <c r="AI28" s="240">
        <f>IFERROR(VLOOKUP($B28,'Bảng tổng hợp'!$B:$BB,50,0),"")</f>
        <v>0</v>
      </c>
      <c r="AJ28" s="240">
        <f>IFERROR(VLOOKUP($B28,'Bảng tổng hợp'!$B:$BB,51,0),"")</f>
        <v>0</v>
      </c>
      <c r="AK28" s="240">
        <f>IFERROR(VLOOKUP($B28,'Bảng tổng hợp'!$B:$BB,53,0),"")</f>
        <v>10499808</v>
      </c>
    </row>
    <row r="29" spans="1:37" s="241" customFormat="1" ht="39.75" customHeight="1" x14ac:dyDescent="0.25">
      <c r="A29" s="237">
        <v>12</v>
      </c>
      <c r="B29" s="238" t="str">
        <f>+'Bảng tổng hợp'!B13</f>
        <v>NV005</v>
      </c>
      <c r="C29" s="239" t="str">
        <f>IFERROR(VLOOKUP($B29,'Bảng tổng hợp'!$B:$BB,2,0),"")</f>
        <v>Nguyễn Văn Thái</v>
      </c>
      <c r="D29" s="240" t="str">
        <f>IFERROR(VLOOKUP($B29,'Bảng tổng hợp'!$B:$BB,3,0),"")</f>
        <v>HĐLĐ</v>
      </c>
      <c r="E29" s="240" t="str">
        <f>IFERROR(VLOOKUP($B29,'Bảng tổng hợp'!$B:$BB,4,0),"")</f>
        <v>Phó phòng</v>
      </c>
      <c r="F29" s="240" t="str">
        <f>IFERROR(VLOOKUP($B29,'Bảng tổng hợp'!$B:$BB,5,0),"")</f>
        <v>Logistic</v>
      </c>
      <c r="G29" s="240">
        <f>IFERROR(VLOOKUP($B29,'Bảng tổng hợp'!$B:$BB,7,0),"")</f>
        <v>7000000</v>
      </c>
      <c r="H29" s="240">
        <f>IFERROR(VLOOKUP($B29,'Bảng tổng hợp'!$B:$BB,8,0),"")</f>
        <v>1000000</v>
      </c>
      <c r="I29" s="240">
        <f>IFERROR(VLOOKUP($B29,'Bảng tổng hợp'!$B:$BB,9,0),"")</f>
        <v>1300000</v>
      </c>
      <c r="J29" s="240">
        <f>IFERROR(VLOOKUP($B29,'Bảng tổng hợp'!$B:$BB,10,0),"")</f>
        <v>500000</v>
      </c>
      <c r="K29" s="240">
        <f>IFERROR(VLOOKUP($B29,'Bảng tổng hợp'!$B:$BB,11,0),"")</f>
        <v>400000</v>
      </c>
      <c r="L29" s="240">
        <f>IFERROR(VLOOKUP($B29,'Bảng tổng hợp'!$B:$BB,12,0),"")</f>
        <v>400000</v>
      </c>
      <c r="M29" s="240">
        <f>IFERROR(VLOOKUP($B29,'Bảng tổng hợp'!$B:$BB,13,0),"")</f>
        <v>10600000</v>
      </c>
      <c r="N29" s="240">
        <f>IFERROR(VLOOKUP($B29,'Bảng tổng hợp'!$B:$BB,6,0),"")</f>
        <v>8000000</v>
      </c>
      <c r="O29" s="314">
        <f>VLOOKUP(B29,'Bảng tổng hợp'!$B$4:$O$47,14,0)</f>
        <v>24</v>
      </c>
      <c r="P29" s="240">
        <f>VLOOKUP(B29,'Bảng tổng hợp'!$B$4:$AA$41,23,0)</f>
        <v>1200000</v>
      </c>
      <c r="Q29" s="240">
        <f>VLOOKUP(B29,'Bảng tổng hợp'!$B$4:$AA$41,24,0)</f>
        <v>461538.4615384615</v>
      </c>
      <c r="R29" s="240">
        <f>VLOOKUP(B29,'Bảng tổng hợp'!$B$4:$AA$41,25,0)</f>
        <v>369230.76923076925</v>
      </c>
      <c r="S29" s="240">
        <f>VLOOKUP(B29,'Bảng tổng hợp'!$B$4:$AA$41,26,0)</f>
        <v>400000</v>
      </c>
      <c r="T29" s="240">
        <f>IFERROR(VLOOKUP($B29,'Bảng tổng hợp'!$B:$BB,15,0),"")</f>
        <v>2</v>
      </c>
      <c r="U29" s="240">
        <f>IFERROR(VLOOKUP($B29,'Bảng tổng hợp'!$B:$BB,16,0),"")</f>
        <v>615384.61538461538</v>
      </c>
      <c r="V29" s="314">
        <f>VLOOKUP($B29,'Bảng tổng hợp'!$B:$BB,17,0)</f>
        <v>0</v>
      </c>
      <c r="W29" s="240">
        <f>IFERROR(VLOOKUP($B29,'Bảng tổng hợp'!$B:$BB,18,0),"")</f>
        <v>0</v>
      </c>
      <c r="X29" s="314">
        <f>VLOOKUP($B29,'Bảng tổng hợp'!$B:$BB,19,0)</f>
        <v>8</v>
      </c>
      <c r="Y29" s="240">
        <f>IFERROR(VLOOKUP($B29,'Bảng tổng hợp'!$B:$BB,20,0),"")</f>
        <v>615385</v>
      </c>
      <c r="Z29" s="240">
        <f>IFERROR(VLOOKUP($B29,'Bảng tổng hợp'!$B:$BB,27,0),"")</f>
        <v>0</v>
      </c>
      <c r="AA29" s="240">
        <f>IFERROR(VLOOKUP($B29,'Bảng tổng hợp'!$B:$BB,28,0),"")</f>
        <v>11046154.230769232</v>
      </c>
      <c r="AB29" s="240">
        <f>IFERROR(VLOOKUP($B29,'Bảng tổng hợp'!$B:$BB,38,0),"")</f>
        <v>1720000</v>
      </c>
      <c r="AC29" s="240">
        <f>IFERROR(VLOOKUP($B29,'Bảng tổng hợp'!$B:$BB,39,0),"")</f>
        <v>160000</v>
      </c>
      <c r="AD29" s="240">
        <f>IFERROR(VLOOKUP($B29,'Bảng tổng hợp'!$B:$BB,43,0),"")</f>
        <v>840000</v>
      </c>
      <c r="AE29" s="240">
        <f>IFERROR(VLOOKUP($B29,'Bảng tổng hợp'!$B:$BB,44,0),"")</f>
        <v>0</v>
      </c>
      <c r="AF29" s="240">
        <f>IFERROR(VLOOKUP($B29,'Bảng tổng hợp'!$B:$BB,52,0),"")</f>
        <v>0</v>
      </c>
      <c r="AG29" s="240">
        <f>IFERROR(VLOOKUP($B29,'Bảng tổng hợp'!$B:$BB,48,0),"")</f>
        <v>15500000</v>
      </c>
      <c r="AH29" s="240">
        <f>IFERROR(VLOOKUP($B29,'Bảng tổng hợp'!$B:$BB,49,0),"")</f>
        <v>8461538</v>
      </c>
      <c r="AI29" s="240">
        <f>IFERROR(VLOOKUP($B29,'Bảng tổng hợp'!$B:$BB,50,0),"")</f>
        <v>0</v>
      </c>
      <c r="AJ29" s="240">
        <f>IFERROR(VLOOKUP($B29,'Bảng tổng hợp'!$B:$BB,51,0),"")</f>
        <v>0</v>
      </c>
      <c r="AK29" s="240">
        <f>IFERROR(VLOOKUP($B29,'Bảng tổng hợp'!$B:$BB,53,0),"")</f>
        <v>10206154</v>
      </c>
    </row>
    <row r="30" spans="1:37" s="241" customFormat="1" ht="39.75" customHeight="1" x14ac:dyDescent="0.25">
      <c r="A30" s="237">
        <v>13</v>
      </c>
      <c r="B30" s="238" t="str">
        <f>+'Bảng tổng hợp'!B14</f>
        <v>NV010</v>
      </c>
      <c r="C30" s="239" t="str">
        <f>IFERROR(VLOOKUP($B30,'Bảng tổng hợp'!$B:$BB,2,0),"")</f>
        <v>Lê Hữu Thọ</v>
      </c>
      <c r="D30" s="240" t="str">
        <f>IFERROR(VLOOKUP($B30,'Bảng tổng hợp'!$B:$BB,3,0),"")</f>
        <v>HĐLĐ</v>
      </c>
      <c r="E30" s="240" t="str">
        <f>IFERROR(VLOOKUP($B30,'Bảng tổng hợp'!$B:$BB,4,0),"")</f>
        <v>Thủ kho trưởng</v>
      </c>
      <c r="F30" s="240" t="str">
        <f>IFERROR(VLOOKUP($B30,'Bảng tổng hợp'!$B:$BB,5,0),"")</f>
        <v>Logistic</v>
      </c>
      <c r="G30" s="240">
        <f>IFERROR(VLOOKUP($B30,'Bảng tổng hợp'!$B:$BB,7,0),"")</f>
        <v>7000000</v>
      </c>
      <c r="H30" s="240">
        <f>IFERROR(VLOOKUP($B30,'Bảng tổng hợp'!$B:$BB,8,0),"")</f>
        <v>1000000</v>
      </c>
      <c r="I30" s="240">
        <f>IFERROR(VLOOKUP($B30,'Bảng tổng hợp'!$B:$BB,9,0),"")</f>
        <v>1300000</v>
      </c>
      <c r="J30" s="240">
        <f>IFERROR(VLOOKUP($B30,'Bảng tổng hợp'!$B:$BB,10,0),"")</f>
        <v>500000</v>
      </c>
      <c r="K30" s="240">
        <f>IFERROR(VLOOKUP($B30,'Bảng tổng hợp'!$B:$BB,11,0),"")</f>
        <v>400000</v>
      </c>
      <c r="L30" s="240">
        <f>IFERROR(VLOOKUP($B30,'Bảng tổng hợp'!$B:$BB,12,0),"")</f>
        <v>400000</v>
      </c>
      <c r="M30" s="240">
        <f>IFERROR(VLOOKUP($B30,'Bảng tổng hợp'!$B:$BB,13,0),"")</f>
        <v>10600000</v>
      </c>
      <c r="N30" s="240">
        <f>IFERROR(VLOOKUP($B30,'Bảng tổng hợp'!$B:$BB,6,0),"")</f>
        <v>8000000</v>
      </c>
      <c r="O30" s="314">
        <f>VLOOKUP(B30,'Bảng tổng hợp'!$B$4:$O$47,14,0)</f>
        <v>26</v>
      </c>
      <c r="P30" s="240">
        <f>VLOOKUP(B30,'Bảng tổng hợp'!$B$4:$AA$41,23,0)</f>
        <v>1300000</v>
      </c>
      <c r="Q30" s="240">
        <f>VLOOKUP(B30,'Bảng tổng hợp'!$B$4:$AA$41,24,0)</f>
        <v>500000</v>
      </c>
      <c r="R30" s="240">
        <f>VLOOKUP(B30,'Bảng tổng hợp'!$B$4:$AA$41,25,0)</f>
        <v>400000</v>
      </c>
      <c r="S30" s="240">
        <f>VLOOKUP(B30,'Bảng tổng hợp'!$B$4:$AA$41,26,0)</f>
        <v>400000</v>
      </c>
      <c r="T30" s="240">
        <f>IFERROR(VLOOKUP($B30,'Bảng tổng hợp'!$B:$BB,15,0),"")</f>
        <v>0</v>
      </c>
      <c r="U30" s="240">
        <f>IFERROR(VLOOKUP($B30,'Bảng tổng hợp'!$B:$BB,16,0),"")</f>
        <v>0</v>
      </c>
      <c r="V30" s="314">
        <f>VLOOKUP($B30,'Bảng tổng hợp'!$B:$BB,17,0)</f>
        <v>0</v>
      </c>
      <c r="W30" s="240">
        <f>IFERROR(VLOOKUP($B30,'Bảng tổng hợp'!$B:$BB,18,0),"")</f>
        <v>0</v>
      </c>
      <c r="X30" s="314">
        <f>VLOOKUP($B30,'Bảng tổng hợp'!$B:$BB,19,0)</f>
        <v>8</v>
      </c>
      <c r="Y30" s="240">
        <f>IFERROR(VLOOKUP($B30,'Bảng tổng hợp'!$B:$BB,20,0),"")</f>
        <v>615385</v>
      </c>
      <c r="Z30" s="240">
        <f>IFERROR(VLOOKUP($B30,'Bảng tổng hợp'!$B:$BB,27,0),"")</f>
        <v>0</v>
      </c>
      <c r="AA30" s="240">
        <f>IFERROR(VLOOKUP($B30,'Bảng tổng hợp'!$B:$BB,28,0),"")</f>
        <v>11215385</v>
      </c>
      <c r="AB30" s="240">
        <f>IFERROR(VLOOKUP($B30,'Bảng tổng hợp'!$B:$BB,38,0),"")</f>
        <v>1720000</v>
      </c>
      <c r="AC30" s="240">
        <f>IFERROR(VLOOKUP($B30,'Bảng tổng hợp'!$B:$BB,39,0),"")</f>
        <v>160000</v>
      </c>
      <c r="AD30" s="240">
        <f>IFERROR(VLOOKUP($B30,'Bảng tổng hợp'!$B:$BB,43,0),"")</f>
        <v>840000</v>
      </c>
      <c r="AE30" s="240">
        <f>IFERROR(VLOOKUP($B30,'Bảng tổng hợp'!$B:$BB,44,0),"")</f>
        <v>0</v>
      </c>
      <c r="AF30" s="240">
        <f>IFERROR(VLOOKUP($B30,'Bảng tổng hợp'!$B:$BB,52,0),"")</f>
        <v>0</v>
      </c>
      <c r="AG30" s="240">
        <f>IFERROR(VLOOKUP($B30,'Bảng tổng hợp'!$B:$BB,48,0),"")</f>
        <v>15500000</v>
      </c>
      <c r="AH30" s="240">
        <f>IFERROR(VLOOKUP($B30,'Bảng tổng hợp'!$B:$BB,49,0),"")</f>
        <v>8500000</v>
      </c>
      <c r="AI30" s="240">
        <f>IFERROR(VLOOKUP($B30,'Bảng tổng hợp'!$B:$BB,50,0),"")</f>
        <v>0</v>
      </c>
      <c r="AJ30" s="240">
        <f>IFERROR(VLOOKUP($B30,'Bảng tổng hợp'!$B:$BB,51,0),"")</f>
        <v>0</v>
      </c>
      <c r="AK30" s="240">
        <f>IFERROR(VLOOKUP($B30,'Bảng tổng hợp'!$B:$BB,53,0),"")</f>
        <v>10375385</v>
      </c>
    </row>
    <row r="31" spans="1:37" s="241" customFormat="1" ht="39.75" customHeight="1" x14ac:dyDescent="0.25">
      <c r="A31" s="237">
        <f>+A30+1</f>
        <v>14</v>
      </c>
      <c r="B31" s="238" t="str">
        <f>+'Bảng tổng hợp'!B15</f>
        <v>NV020</v>
      </c>
      <c r="C31" s="239" t="str">
        <f>IFERROR(VLOOKUP($B31,'Bảng tổng hợp'!$B:$BB,2,0),"")</f>
        <v>Dương Nhựt Thành</v>
      </c>
      <c r="D31" s="240" t="str">
        <f>IFERROR(VLOOKUP($B31,'Bảng tổng hợp'!$B:$BB,3,0),"")</f>
        <v>HĐLĐ</v>
      </c>
      <c r="E31" s="240" t="str">
        <f>IFERROR(VLOOKUP($B31,'Bảng tổng hợp'!$B:$BB,4,0),"")</f>
        <v>Nhân viên</v>
      </c>
      <c r="F31" s="240" t="str">
        <f>IFERROR(VLOOKUP($B31,'Bảng tổng hợp'!$B:$BB,5,0),"")</f>
        <v>Logistic</v>
      </c>
      <c r="G31" s="240">
        <f>IFERROR(VLOOKUP($B31,'Bảng tổng hợp'!$B:$BB,7,0),"")</f>
        <v>6500000</v>
      </c>
      <c r="H31" s="240">
        <f>IFERROR(VLOOKUP($B31,'Bảng tổng hợp'!$B:$BB,8,0),"")</f>
        <v>500000</v>
      </c>
      <c r="I31" s="240">
        <f>IFERROR(VLOOKUP($B31,'Bảng tổng hợp'!$B:$BB,9,0),"")</f>
        <v>1000000</v>
      </c>
      <c r="J31" s="240">
        <f>IFERROR(VLOOKUP($B31,'Bảng tổng hợp'!$B:$BB,10,0),"")</f>
        <v>1000000</v>
      </c>
      <c r="K31" s="240">
        <f>IFERROR(VLOOKUP($B31,'Bảng tổng hợp'!$B:$BB,11,0),"")</f>
        <v>500000</v>
      </c>
      <c r="L31" s="240">
        <f>IFERROR(VLOOKUP($B31,'Bảng tổng hợp'!$B:$BB,12,0),"")</f>
        <v>400000</v>
      </c>
      <c r="M31" s="240">
        <f>IFERROR(VLOOKUP($B31,'Bảng tổng hợp'!$B:$BB,13,0),"")</f>
        <v>9900000</v>
      </c>
      <c r="N31" s="240">
        <f>IFERROR(VLOOKUP($B31,'Bảng tổng hợp'!$B:$BB,6,0),"")</f>
        <v>7000000</v>
      </c>
      <c r="O31" s="314">
        <f>VLOOKUP(B31,'Bảng tổng hợp'!$B$4:$O$47,14,0)</f>
        <v>24</v>
      </c>
      <c r="P31" s="240">
        <f>VLOOKUP(B31,'Bảng tổng hợp'!$B$4:$AA$41,23,0)</f>
        <v>923076.92307692301</v>
      </c>
      <c r="Q31" s="240">
        <f>VLOOKUP(B31,'Bảng tổng hợp'!$B$4:$AA$41,24,0)</f>
        <v>923076.92307692301</v>
      </c>
      <c r="R31" s="240">
        <f>VLOOKUP(B31,'Bảng tổng hợp'!$B$4:$AA$41,25,0)</f>
        <v>461538.4615384615</v>
      </c>
      <c r="S31" s="240">
        <f>VLOOKUP(B31,'Bảng tổng hợp'!$B$4:$AA$41,26,0)</f>
        <v>400000</v>
      </c>
      <c r="T31" s="240">
        <f>IFERROR(VLOOKUP($B31,'Bảng tổng hợp'!$B:$BB,15,0),"")</f>
        <v>2</v>
      </c>
      <c r="U31" s="240">
        <f>IFERROR(VLOOKUP($B31,'Bảng tổng hợp'!$B:$BB,16,0),"")</f>
        <v>538461.5384615385</v>
      </c>
      <c r="V31" s="314">
        <f>VLOOKUP($B31,'Bảng tổng hợp'!$B:$BB,17,0)</f>
        <v>0</v>
      </c>
      <c r="W31" s="240">
        <f>IFERROR(VLOOKUP($B31,'Bảng tổng hợp'!$B:$BB,18,0),"")</f>
        <v>0</v>
      </c>
      <c r="X31" s="314">
        <f>VLOOKUP($B31,'Bảng tổng hợp'!$B:$BB,19,0)</f>
        <v>0</v>
      </c>
      <c r="Y31" s="240">
        <f>IFERROR(VLOOKUP($B31,'Bảng tổng hợp'!$B:$BB,20,0),"")</f>
        <v>0</v>
      </c>
      <c r="Z31" s="240">
        <f>IFERROR(VLOOKUP($B31,'Bảng tổng hợp'!$B:$BB,27,0),"")</f>
        <v>0</v>
      </c>
      <c r="AA31" s="240">
        <f>IFERROR(VLOOKUP($B31,'Bảng tổng hợp'!$B:$BB,28,0),"")</f>
        <v>9707692.307692308</v>
      </c>
      <c r="AB31" s="240">
        <f>IFERROR(VLOOKUP($B31,'Bảng tổng hợp'!$B:$BB,38,0),"")</f>
        <v>1505000</v>
      </c>
      <c r="AC31" s="240">
        <f>IFERROR(VLOOKUP($B31,'Bảng tổng hợp'!$B:$BB,39,0),"")</f>
        <v>140000</v>
      </c>
      <c r="AD31" s="240">
        <f>IFERROR(VLOOKUP($B31,'Bảng tổng hợp'!$B:$BB,43,0),"")</f>
        <v>735000</v>
      </c>
      <c r="AE31" s="240">
        <f>IFERROR(VLOOKUP($B31,'Bảng tổng hợp'!$B:$BB,44,0),"")</f>
        <v>0</v>
      </c>
      <c r="AF31" s="240">
        <f>IFERROR(VLOOKUP($B31,'Bảng tổng hợp'!$B:$BB,52,0),"")</f>
        <v>0</v>
      </c>
      <c r="AG31" s="240">
        <f>IFERROR(VLOOKUP($B31,'Bảng tổng hợp'!$B:$BB,48,0),"")</f>
        <v>15500000</v>
      </c>
      <c r="AH31" s="240">
        <f>IFERROR(VLOOKUP($B31,'Bảng tổng hợp'!$B:$BB,49,0),"")</f>
        <v>7923077</v>
      </c>
      <c r="AI31" s="240">
        <f>IFERROR(VLOOKUP($B31,'Bảng tổng hợp'!$B:$BB,50,0),"")</f>
        <v>0</v>
      </c>
      <c r="AJ31" s="240">
        <f>IFERROR(VLOOKUP($B31,'Bảng tổng hợp'!$B:$BB,51,0),"")</f>
        <v>0</v>
      </c>
      <c r="AK31" s="240">
        <f>IFERROR(VLOOKUP($B31,'Bảng tổng hợp'!$B:$BB,53,0),"")</f>
        <v>8972692</v>
      </c>
    </row>
    <row r="32" spans="1:37" s="241" customFormat="1" ht="39.75" customHeight="1" x14ac:dyDescent="0.25">
      <c r="A32" s="237">
        <f>+A31+1</f>
        <v>15</v>
      </c>
      <c r="B32" s="238" t="str">
        <f>+'Bảng tổng hợp'!B16</f>
        <v>NV031</v>
      </c>
      <c r="C32" s="239" t="str">
        <f>IFERROR(VLOOKUP($B32,'Bảng tổng hợp'!$B:$BB,2,0),"")</f>
        <v>Tiết Trinh Nguyên</v>
      </c>
      <c r="D32" s="240" t="str">
        <f>IFERROR(VLOOKUP($B32,'Bảng tổng hợp'!$B:$BB,3,0),"")</f>
        <v>HĐLĐ</v>
      </c>
      <c r="E32" s="240" t="str">
        <f>IFERROR(VLOOKUP($B32,'Bảng tổng hợp'!$B:$BB,4,0),"")</f>
        <v>Nhân viên</v>
      </c>
      <c r="F32" s="240" t="str">
        <f>IFERROR(VLOOKUP($B32,'Bảng tổng hợp'!$B:$BB,5,0),"")</f>
        <v>Logistic</v>
      </c>
      <c r="G32" s="240">
        <f>IFERROR(VLOOKUP($B32,'Bảng tổng hợp'!$B:$BB,7,0),"")</f>
        <v>6500000</v>
      </c>
      <c r="H32" s="240">
        <f>IFERROR(VLOOKUP($B32,'Bảng tổng hợp'!$B:$BB,8,0),"")</f>
        <v>500000</v>
      </c>
      <c r="I32" s="240">
        <f>IFERROR(VLOOKUP($B32,'Bảng tổng hợp'!$B:$BB,9,0),"")</f>
        <v>1000000</v>
      </c>
      <c r="J32" s="240">
        <f>IFERROR(VLOOKUP($B32,'Bảng tổng hợp'!$B:$BB,10,0),"")</f>
        <v>500000</v>
      </c>
      <c r="K32" s="240">
        <f>IFERROR(VLOOKUP($B32,'Bảng tổng hợp'!$B:$BB,11,0),"")</f>
        <v>300000</v>
      </c>
      <c r="L32" s="240">
        <f>IFERROR(VLOOKUP($B32,'Bảng tổng hợp'!$B:$BB,12,0),"")</f>
        <v>400000</v>
      </c>
      <c r="M32" s="240">
        <f>IFERROR(VLOOKUP($B32,'Bảng tổng hợp'!$B:$BB,13,0),"")</f>
        <v>9200000</v>
      </c>
      <c r="N32" s="240">
        <f>IFERROR(VLOOKUP($B32,'Bảng tổng hợp'!$B:$BB,6,0),"")</f>
        <v>7000000</v>
      </c>
      <c r="O32" s="314">
        <f>VLOOKUP(B32,'Bảng tổng hợp'!$B$4:$O$47,14,0)</f>
        <v>25</v>
      </c>
      <c r="P32" s="240">
        <f>VLOOKUP(B32,'Bảng tổng hợp'!$B$4:$AA$41,23,0)</f>
        <v>961538.4615384615</v>
      </c>
      <c r="Q32" s="240">
        <f>VLOOKUP(B32,'Bảng tổng hợp'!$B$4:$AA$41,24,0)</f>
        <v>480769.23076923075</v>
      </c>
      <c r="R32" s="240">
        <f>VLOOKUP(B32,'Bảng tổng hợp'!$B$4:$AA$41,25,0)</f>
        <v>288461.5384615385</v>
      </c>
      <c r="S32" s="240">
        <f>VLOOKUP(B32,'Bảng tổng hợp'!$B$4:$AA$41,26,0)</f>
        <v>400000</v>
      </c>
      <c r="T32" s="240">
        <f>IFERROR(VLOOKUP($B32,'Bảng tổng hợp'!$B:$BB,15,0),"")</f>
        <v>1</v>
      </c>
      <c r="U32" s="240">
        <f>IFERROR(VLOOKUP($B32,'Bảng tổng hợp'!$B:$BB,16,0),"")</f>
        <v>269230.76923076925</v>
      </c>
      <c r="V32" s="314">
        <f>VLOOKUP($B32,'Bảng tổng hợp'!$B:$BB,17,0)</f>
        <v>21.33</v>
      </c>
      <c r="W32" s="240">
        <f>IFERROR(VLOOKUP($B32,'Bảng tổng hợp'!$B:$BB,18,0),"")</f>
        <v>1076755</v>
      </c>
      <c r="X32" s="314">
        <f>VLOOKUP($B32,'Bảng tổng hợp'!$B:$BB,19,0)</f>
        <v>0</v>
      </c>
      <c r="Y32" s="240">
        <f>IFERROR(VLOOKUP($B32,'Bảng tổng hợp'!$B:$BB,20,0),"")</f>
        <v>0</v>
      </c>
      <c r="Z32" s="240">
        <f>IFERROR(VLOOKUP($B32,'Bảng tổng hợp'!$B:$BB,27,0),"")</f>
        <v>0</v>
      </c>
      <c r="AA32" s="240">
        <f>IFERROR(VLOOKUP($B32,'Bảng tổng hợp'!$B:$BB,28,0),"")</f>
        <v>10207524.230769232</v>
      </c>
      <c r="AB32" s="240">
        <f>IFERROR(VLOOKUP($B32,'Bảng tổng hợp'!$B:$BB,38,0),"")</f>
        <v>1505000</v>
      </c>
      <c r="AC32" s="240">
        <f>IFERROR(VLOOKUP($B32,'Bảng tổng hợp'!$B:$BB,39,0),"")</f>
        <v>140000</v>
      </c>
      <c r="AD32" s="240">
        <f>IFERROR(VLOOKUP($B32,'Bảng tổng hợp'!$B:$BB,43,0),"")</f>
        <v>735000</v>
      </c>
      <c r="AE32" s="240">
        <f>IFERROR(VLOOKUP($B32,'Bảng tổng hợp'!$B:$BB,44,0),"")</f>
        <v>0</v>
      </c>
      <c r="AF32" s="240">
        <f>IFERROR(VLOOKUP($B32,'Bảng tổng hợp'!$B:$BB,52,0),"")</f>
        <v>0</v>
      </c>
      <c r="AG32" s="240">
        <f>IFERROR(VLOOKUP($B32,'Bảng tổng hợp'!$B:$BB,48,0),"")</f>
        <v>15500000</v>
      </c>
      <c r="AH32" s="240">
        <f>IFERROR(VLOOKUP($B32,'Bảng tổng hợp'!$B:$BB,49,0),"")</f>
        <v>7480769</v>
      </c>
      <c r="AI32" s="240">
        <f>IFERROR(VLOOKUP($B32,'Bảng tổng hợp'!$B:$BB,50,0),"")</f>
        <v>0</v>
      </c>
      <c r="AJ32" s="240">
        <f>IFERROR(VLOOKUP($B32,'Bảng tổng hợp'!$B:$BB,51,0),"")</f>
        <v>0</v>
      </c>
      <c r="AK32" s="240">
        <f>IFERROR(VLOOKUP($B32,'Bảng tổng hợp'!$B:$BB,53,0),"")</f>
        <v>9472524</v>
      </c>
    </row>
    <row r="33" spans="1:37" s="241" customFormat="1" ht="39.75" customHeight="1" x14ac:dyDescent="0.25">
      <c r="A33" s="237">
        <f>+A32+1</f>
        <v>16</v>
      </c>
      <c r="B33" s="356" t="str">
        <f>'Bảng tổng hợp'!B17</f>
        <v>NV036</v>
      </c>
      <c r="C33" s="239" t="str">
        <f>IFERROR(VLOOKUP($B33,'Bảng tổng hợp'!$B:$BB,2,0),"")</f>
        <v>Nguyễn Hoàng Ngọc Châu</v>
      </c>
      <c r="D33" s="240" t="str">
        <f>IFERROR(VLOOKUP($B33,'Bảng tổng hợp'!$B:$BB,3,0),"")</f>
        <v>HĐLĐ</v>
      </c>
      <c r="E33" s="240" t="str">
        <f>IFERROR(VLOOKUP($B33,'Bảng tổng hợp'!$B:$BB,4,0),"")</f>
        <v>Nhân viên</v>
      </c>
      <c r="F33" s="240" t="str">
        <f>IFERROR(VLOOKUP($B33,'Bảng tổng hợp'!$B:$BB,5,0),"")</f>
        <v>Logistic</v>
      </c>
      <c r="G33" s="240">
        <f>IFERROR(VLOOKUP($B33,'Bảng tổng hợp'!$B:$BB,7,0),"")</f>
        <v>6500000</v>
      </c>
      <c r="H33" s="240">
        <f>IFERROR(VLOOKUP($B33,'Bảng tổng hợp'!$B:$BB,8,0),"")</f>
        <v>1000000</v>
      </c>
      <c r="I33" s="240">
        <f>IFERROR(VLOOKUP($B33,'Bảng tổng hợp'!$B:$BB,9,0),"")</f>
        <v>1000000</v>
      </c>
      <c r="J33" s="240">
        <f>IFERROR(VLOOKUP($B33,'Bảng tổng hợp'!$B:$BB,10,0),"")</f>
        <v>500000</v>
      </c>
      <c r="K33" s="240">
        <f>IFERROR(VLOOKUP($B33,'Bảng tổng hợp'!$B:$BB,11,0),"")</f>
        <v>400000</v>
      </c>
      <c r="L33" s="240">
        <f>IFERROR(VLOOKUP($B33,'Bảng tổng hợp'!$B:$BB,12,0),"")</f>
        <v>400000</v>
      </c>
      <c r="M33" s="240">
        <f>IFERROR(VLOOKUP($B33,'Bảng tổng hợp'!$B:$BB,13,0),"")</f>
        <v>9800000</v>
      </c>
      <c r="N33" s="240">
        <f>IFERROR(VLOOKUP($B33,'Bảng tổng hợp'!$B:$BB,6,0),"")</f>
        <v>7500000</v>
      </c>
      <c r="O33" s="314">
        <f>VLOOKUP(B33,'Bảng tổng hợp'!$B$4:$O$47,14,0)</f>
        <v>26</v>
      </c>
      <c r="P33" s="240">
        <f>VLOOKUP(B33,'Bảng tổng hợp'!$B$4:$AA$41,23,0)</f>
        <v>1000000</v>
      </c>
      <c r="Q33" s="240">
        <f>VLOOKUP(B33,'Bảng tổng hợp'!$B$4:$AA$41,24,0)</f>
        <v>500000</v>
      </c>
      <c r="R33" s="240">
        <f>VLOOKUP(B33,'Bảng tổng hợp'!$B$4:$AA$41,25,0)</f>
        <v>400000</v>
      </c>
      <c r="S33" s="240">
        <f>VLOOKUP(B33,'Bảng tổng hợp'!$B$4:$AA$41,26,0)</f>
        <v>400000</v>
      </c>
      <c r="T33" s="240">
        <f>IFERROR(VLOOKUP($B33,'Bảng tổng hợp'!$B:$BB,15,0),"")</f>
        <v>0</v>
      </c>
      <c r="U33" s="240">
        <f>IFERROR(VLOOKUP($B33,'Bảng tổng hợp'!$B:$BB,16,0),"")</f>
        <v>0</v>
      </c>
      <c r="V33" s="314">
        <f>VLOOKUP($B33,'Bảng tổng hợp'!$B:$BB,17,0)</f>
        <v>10.58</v>
      </c>
      <c r="W33" s="240">
        <f>IFERROR(VLOOKUP($B33,'Bảng tổng hợp'!$B:$BB,18,0),"")</f>
        <v>572236</v>
      </c>
      <c r="X33" s="314">
        <f>VLOOKUP($B33,'Bảng tổng hợp'!$B:$BB,19,0)</f>
        <v>0</v>
      </c>
      <c r="Y33" s="240">
        <f>IFERROR(VLOOKUP($B33,'Bảng tổng hợp'!$B:$BB,20,0),"")</f>
        <v>0</v>
      </c>
      <c r="Z33" s="240">
        <f>IFERROR(VLOOKUP($B33,'Bảng tổng hợp'!$B:$BB,27,0),"")</f>
        <v>0</v>
      </c>
      <c r="AA33" s="240">
        <f>IFERROR(VLOOKUP($B33,'Bảng tổng hợp'!$B:$BB,28,0),"")</f>
        <v>10372236</v>
      </c>
      <c r="AB33" s="240">
        <f>IFERROR(VLOOKUP($B33,'Bảng tổng hợp'!$B:$BB,38,0),"")</f>
        <v>1612500</v>
      </c>
      <c r="AC33" s="240">
        <f>IFERROR(VLOOKUP($B33,'Bảng tổng hợp'!$B:$BB,39,0),"")</f>
        <v>150000</v>
      </c>
      <c r="AD33" s="240">
        <f>IFERROR(VLOOKUP($B33,'Bảng tổng hợp'!$B:$BB,43,0),"")</f>
        <v>787500</v>
      </c>
      <c r="AE33" s="240">
        <f>IFERROR(VLOOKUP($B33,'Bảng tổng hợp'!$B:$BB,44,0),"")</f>
        <v>0</v>
      </c>
      <c r="AF33" s="240">
        <f>IFERROR(VLOOKUP($B33,'Bảng tổng hợp'!$B:$BB,52,0),"")</f>
        <v>0</v>
      </c>
      <c r="AG33" s="240">
        <f>IFERROR(VLOOKUP($B33,'Bảng tổng hợp'!$B:$BB,48,0),"")</f>
        <v>15500000</v>
      </c>
      <c r="AH33" s="240">
        <f>IFERROR(VLOOKUP($B33,'Bảng tổng hợp'!$B:$BB,49,0),"")</f>
        <v>8000000</v>
      </c>
      <c r="AI33" s="240">
        <f>IFERROR(VLOOKUP($B33,'Bảng tổng hợp'!$B:$BB,50,0),"")</f>
        <v>0</v>
      </c>
      <c r="AJ33" s="240">
        <f>IFERROR(VLOOKUP($B33,'Bảng tổng hợp'!$B:$BB,51,0),"")</f>
        <v>0</v>
      </c>
      <c r="AK33" s="240">
        <f>IFERROR(VLOOKUP($B33,'Bảng tổng hợp'!$B:$BB,53,0),"")</f>
        <v>9584736</v>
      </c>
    </row>
    <row r="34" spans="1:37" s="241" customFormat="1" ht="24" customHeight="1" x14ac:dyDescent="0.25">
      <c r="A34" s="242" t="s">
        <v>288</v>
      </c>
      <c r="B34" s="243"/>
      <c r="C34" s="244"/>
      <c r="D34" s="240"/>
      <c r="E34" s="240"/>
      <c r="F34" s="240"/>
      <c r="G34" s="235">
        <f>SUBTOTAL(9,G35:G52)</f>
        <v>119000000</v>
      </c>
      <c r="H34" s="235">
        <f t="shared" ref="H34:AK34" si="29">SUBTOTAL(9,H35:H52)</f>
        <v>11000000</v>
      </c>
      <c r="I34" s="235">
        <f t="shared" si="29"/>
        <v>20700000</v>
      </c>
      <c r="J34" s="235">
        <f t="shared" si="29"/>
        <v>9000000</v>
      </c>
      <c r="K34" s="235">
        <f t="shared" si="29"/>
        <v>5800000</v>
      </c>
      <c r="L34" s="235">
        <f t="shared" si="29"/>
        <v>7200000</v>
      </c>
      <c r="M34" s="235">
        <f t="shared" si="29"/>
        <v>172700000</v>
      </c>
      <c r="N34" s="235">
        <f t="shared" si="29"/>
        <v>130000000</v>
      </c>
      <c r="O34" s="235">
        <f t="shared" si="29"/>
        <v>453.5</v>
      </c>
      <c r="P34" s="235">
        <f t="shared" si="29"/>
        <v>20111538.46153846</v>
      </c>
      <c r="Q34" s="235">
        <f t="shared" si="29"/>
        <v>8721153.846153846</v>
      </c>
      <c r="R34" s="235">
        <f t="shared" si="29"/>
        <v>5632692.307692308</v>
      </c>
      <c r="S34" s="235">
        <f t="shared" si="29"/>
        <v>7200000</v>
      </c>
      <c r="T34" s="235">
        <f t="shared" si="29"/>
        <v>11</v>
      </c>
      <c r="U34" s="235">
        <f t="shared" si="29"/>
        <v>3000000.0000000005</v>
      </c>
      <c r="V34" s="235">
        <f t="shared" si="29"/>
        <v>434.62799999999993</v>
      </c>
      <c r="W34" s="235">
        <f t="shared" si="29"/>
        <v>23045758</v>
      </c>
      <c r="X34" s="235">
        <f t="shared" si="29"/>
        <v>8</v>
      </c>
      <c r="Y34" s="235">
        <f t="shared" si="29"/>
        <v>615385</v>
      </c>
      <c r="Z34" s="235">
        <f t="shared" si="29"/>
        <v>300000</v>
      </c>
      <c r="AA34" s="235">
        <f t="shared" si="29"/>
        <v>194751527.61538461</v>
      </c>
      <c r="AB34" s="235">
        <f t="shared" si="29"/>
        <v>27950000</v>
      </c>
      <c r="AC34" s="235">
        <f t="shared" si="29"/>
        <v>2600000</v>
      </c>
      <c r="AD34" s="235">
        <f t="shared" si="29"/>
        <v>13650000</v>
      </c>
      <c r="AE34" s="235">
        <f t="shared" si="29"/>
        <v>0</v>
      </c>
      <c r="AF34" s="235">
        <f t="shared" si="29"/>
        <v>0</v>
      </c>
      <c r="AG34" s="235">
        <f t="shared" si="29"/>
        <v>279000000</v>
      </c>
      <c r="AH34" s="235">
        <f t="shared" si="29"/>
        <v>138686153</v>
      </c>
      <c r="AI34" s="235">
        <f t="shared" si="29"/>
        <v>0</v>
      </c>
      <c r="AJ34" s="235">
        <f t="shared" si="29"/>
        <v>0</v>
      </c>
      <c r="AK34" s="235">
        <f t="shared" si="29"/>
        <v>181101527</v>
      </c>
    </row>
    <row r="35" spans="1:37" s="241" customFormat="1" ht="39.75" customHeight="1" x14ac:dyDescent="0.25">
      <c r="A35" s="237">
        <v>17</v>
      </c>
      <c r="B35" s="238" t="str">
        <f>+'Bảng tổng hợp'!B18</f>
        <v>NV006</v>
      </c>
      <c r="C35" s="239" t="str">
        <f>IFERROR(VLOOKUP($B35,'Bảng tổng hợp'!$B:$BB,2,0),"")</f>
        <v>Dương Nguyễn Anh Khoa</v>
      </c>
      <c r="D35" s="240" t="str">
        <f>IFERROR(VLOOKUP($B35,'Bảng tổng hợp'!$B:$BB,3,0),"")</f>
        <v>HĐLĐ</v>
      </c>
      <c r="E35" s="240" t="str">
        <f>IFERROR(VLOOKUP($B35,'Bảng tổng hợp'!$B:$BB,4,0),"")</f>
        <v>Trưởng phòng</v>
      </c>
      <c r="F35" s="240" t="str">
        <f>IFERROR(VLOOKUP($B35,'Bảng tổng hợp'!$B:$BB,5,0),"")</f>
        <v>Sản xuất</v>
      </c>
      <c r="G35" s="240">
        <f>IFERROR(VLOOKUP($B35,'Bảng tổng hợp'!$B:$BB,7,0),"")</f>
        <v>7500000</v>
      </c>
      <c r="H35" s="240">
        <f>IFERROR(VLOOKUP($B35,'Bảng tổng hợp'!$B:$BB,8,0),"")</f>
        <v>1000000</v>
      </c>
      <c r="I35" s="240">
        <f>IFERROR(VLOOKUP($B35,'Bảng tổng hợp'!$B:$BB,9,0),"")</f>
        <v>1800000</v>
      </c>
      <c r="J35" s="240">
        <f>IFERROR(VLOOKUP($B35,'Bảng tổng hợp'!$B:$BB,10,0),"")</f>
        <v>500000</v>
      </c>
      <c r="K35" s="240">
        <f>IFERROR(VLOOKUP($B35,'Bảng tổng hợp'!$B:$BB,11,0),"")</f>
        <v>400000</v>
      </c>
      <c r="L35" s="240">
        <f>IFERROR(VLOOKUP($B35,'Bảng tổng hợp'!$B:$BB,12,0),"")</f>
        <v>400000</v>
      </c>
      <c r="M35" s="240">
        <f>IFERROR(VLOOKUP($B35,'Bảng tổng hợp'!$B:$BB,13,0),"")</f>
        <v>11600000</v>
      </c>
      <c r="N35" s="240">
        <f>IFERROR(VLOOKUP($B35,'Bảng tổng hợp'!$B:$BB,6,0),"")</f>
        <v>8500000</v>
      </c>
      <c r="O35" s="314">
        <f>VLOOKUP(B35,'Bảng tổng hợp'!$B$4:$O$47,14,0)</f>
        <v>26</v>
      </c>
      <c r="P35" s="240">
        <f>VLOOKUP(B35,'Bảng tổng hợp'!$B$4:$AA$41,23,0)</f>
        <v>1800000</v>
      </c>
      <c r="Q35" s="240">
        <f>VLOOKUP(B35,'Bảng tổng hợp'!$B$4:$AA$41,24,0)</f>
        <v>500000</v>
      </c>
      <c r="R35" s="240">
        <f>VLOOKUP(B35,'Bảng tổng hợp'!$B$4:$AA$41,25,0)</f>
        <v>400000</v>
      </c>
      <c r="S35" s="240">
        <f>VLOOKUP(B35,'Bảng tổng hợp'!$B$4:$AA$41,26,0)</f>
        <v>400000</v>
      </c>
      <c r="T35" s="240">
        <f>IFERROR(VLOOKUP($B35,'Bảng tổng hợp'!$B:$BB,15,0),"")</f>
        <v>0</v>
      </c>
      <c r="U35" s="240">
        <f>IFERROR(VLOOKUP($B35,'Bảng tổng hợp'!$B:$BB,16,0),"")</f>
        <v>0</v>
      </c>
      <c r="V35" s="314">
        <f>VLOOKUP($B35,'Bảng tổng hợp'!$B:$BB,17,0)</f>
        <v>38.049999999999997</v>
      </c>
      <c r="W35" s="240">
        <f>IFERROR(VLOOKUP($B35,'Bảng tổng hợp'!$B:$BB,18,0),"")</f>
        <v>2332392</v>
      </c>
      <c r="X35" s="314">
        <f>VLOOKUP($B35,'Bảng tổng hợp'!$B:$BB,19,0)</f>
        <v>0</v>
      </c>
      <c r="Y35" s="240">
        <f>IFERROR(VLOOKUP($B35,'Bảng tổng hợp'!$B:$BB,20,0),"")</f>
        <v>0</v>
      </c>
      <c r="Z35" s="240">
        <f>IFERROR(VLOOKUP($B35,'Bảng tổng hợp'!$B:$BB,27,0),"")</f>
        <v>0</v>
      </c>
      <c r="AA35" s="240">
        <f>IFERROR(VLOOKUP($B35,'Bảng tổng hợp'!$B:$BB,28,0),"")</f>
        <v>13932392</v>
      </c>
      <c r="AB35" s="240">
        <f>IFERROR(VLOOKUP($B35,'Bảng tổng hợp'!$B:$BB,38,0),"")</f>
        <v>1827500</v>
      </c>
      <c r="AC35" s="240">
        <f>IFERROR(VLOOKUP($B35,'Bảng tổng hợp'!$B:$BB,39,0),"")</f>
        <v>170000</v>
      </c>
      <c r="AD35" s="240">
        <f>IFERROR(VLOOKUP($B35,'Bảng tổng hợp'!$B:$BB,43,0),"")</f>
        <v>892500</v>
      </c>
      <c r="AE35" s="240">
        <f>IFERROR(VLOOKUP($B35,'Bảng tổng hợp'!$B:$BB,44,0),"")</f>
        <v>0</v>
      </c>
      <c r="AF35" s="240">
        <f>IFERROR(VLOOKUP($B35,'Bảng tổng hợp'!$B:$BB,52,0),"")</f>
        <v>0</v>
      </c>
      <c r="AG35" s="240">
        <f>IFERROR(VLOOKUP($B35,'Bảng tổng hợp'!$B:$BB,48,0),"")</f>
        <v>15500000</v>
      </c>
      <c r="AH35" s="240">
        <f>IFERROR(VLOOKUP($B35,'Bảng tổng hợp'!$B:$BB,49,0),"")</f>
        <v>9000000</v>
      </c>
      <c r="AI35" s="240">
        <f>IFERROR(VLOOKUP($B35,'Bảng tổng hợp'!$B:$BB,50,0),"")</f>
        <v>0</v>
      </c>
      <c r="AJ35" s="240">
        <f>IFERROR(VLOOKUP($B35,'Bảng tổng hợp'!$B:$BB,51,0),"")</f>
        <v>0</v>
      </c>
      <c r="AK35" s="240">
        <f>IFERROR(VLOOKUP($B35,'Bảng tổng hợp'!$B:$BB,53,0),"")</f>
        <v>13039892</v>
      </c>
    </row>
    <row r="36" spans="1:37" s="241" customFormat="1" ht="39.75" customHeight="1" x14ac:dyDescent="0.25">
      <c r="A36" s="237">
        <v>18</v>
      </c>
      <c r="B36" s="238" t="str">
        <f>+'Bảng tổng hợp'!B19</f>
        <v>NV007</v>
      </c>
      <c r="C36" s="239" t="str">
        <f>IFERROR(VLOOKUP($B36,'Bảng tổng hợp'!$B:$BB,2,0),"")</f>
        <v>Mai Hà Xuân Phúc</v>
      </c>
      <c r="D36" s="240" t="str">
        <f>IFERROR(VLOOKUP($B36,'Bảng tổng hợp'!$B:$BB,3,0),"")</f>
        <v>HĐLĐ</v>
      </c>
      <c r="E36" s="240" t="str">
        <f>IFERROR(VLOOKUP($B36,'Bảng tổng hợp'!$B:$BB,4,0),"")</f>
        <v>Phó phòng</v>
      </c>
      <c r="F36" s="240" t="str">
        <f>IFERROR(VLOOKUP($B36,'Bảng tổng hợp'!$B:$BB,5,0),"")</f>
        <v>Sản xuất</v>
      </c>
      <c r="G36" s="240">
        <f>IFERROR(VLOOKUP($B36,'Bảng tổng hợp'!$B:$BB,7,0),"")</f>
        <v>7000000</v>
      </c>
      <c r="H36" s="240">
        <f>IFERROR(VLOOKUP($B36,'Bảng tổng hợp'!$B:$BB,8,0),"")</f>
        <v>1000000</v>
      </c>
      <c r="I36" s="240">
        <f>IFERROR(VLOOKUP($B36,'Bảng tổng hợp'!$B:$BB,9,0),"")</f>
        <v>1300000</v>
      </c>
      <c r="J36" s="240">
        <f>IFERROR(VLOOKUP($B36,'Bảng tổng hợp'!$B:$BB,10,0),"")</f>
        <v>500000</v>
      </c>
      <c r="K36" s="240">
        <f>IFERROR(VLOOKUP($B36,'Bảng tổng hợp'!$B:$BB,11,0),"")</f>
        <v>400000</v>
      </c>
      <c r="L36" s="240">
        <f>IFERROR(VLOOKUP($B36,'Bảng tổng hợp'!$B:$BB,12,0),"")</f>
        <v>400000</v>
      </c>
      <c r="M36" s="240">
        <f>IFERROR(VLOOKUP($B36,'Bảng tổng hợp'!$B:$BB,13,0),"")</f>
        <v>10600000</v>
      </c>
      <c r="N36" s="240">
        <f>IFERROR(VLOOKUP($B36,'Bảng tổng hợp'!$B:$BB,6,0),"")</f>
        <v>8000000</v>
      </c>
      <c r="O36" s="314">
        <f>VLOOKUP(B36,'Bảng tổng hợp'!$B$4:$O$47,14,0)</f>
        <v>26</v>
      </c>
      <c r="P36" s="240">
        <f>VLOOKUP(B36,'Bảng tổng hợp'!$B$4:$AA$41,23,0)</f>
        <v>1300000</v>
      </c>
      <c r="Q36" s="240">
        <f>VLOOKUP(B36,'Bảng tổng hợp'!$B$4:$AA$41,24,0)</f>
        <v>500000</v>
      </c>
      <c r="R36" s="240">
        <f>VLOOKUP(B36,'Bảng tổng hợp'!$B$4:$AA$41,25,0)</f>
        <v>400000</v>
      </c>
      <c r="S36" s="240">
        <f>VLOOKUP(B36,'Bảng tổng hợp'!$B$4:$AA$41,26,0)</f>
        <v>400000</v>
      </c>
      <c r="T36" s="240">
        <f>IFERROR(VLOOKUP($B36,'Bảng tổng hợp'!$B:$BB,15,0),"")</f>
        <v>0</v>
      </c>
      <c r="U36" s="240">
        <f>IFERROR(VLOOKUP($B36,'Bảng tổng hợp'!$B:$BB,16,0),"")</f>
        <v>0</v>
      </c>
      <c r="V36" s="314">
        <f>VLOOKUP($B36,'Bảng tổng hợp'!$B:$BB,17,0)</f>
        <v>34.58</v>
      </c>
      <c r="W36" s="240">
        <f>IFERROR(VLOOKUP($B36,'Bảng tổng hợp'!$B:$BB,18,0),"")</f>
        <v>1995000</v>
      </c>
      <c r="X36" s="314">
        <f>VLOOKUP($B36,'Bảng tổng hợp'!$B:$BB,19,0)</f>
        <v>8</v>
      </c>
      <c r="Y36" s="240">
        <f>IFERROR(VLOOKUP($B36,'Bảng tổng hợp'!$B:$BB,20,0),"")</f>
        <v>615385</v>
      </c>
      <c r="Z36" s="240">
        <f>IFERROR(VLOOKUP($B36,'Bảng tổng hợp'!$B:$BB,27,0),"")</f>
        <v>0</v>
      </c>
      <c r="AA36" s="240">
        <f>IFERROR(VLOOKUP($B36,'Bảng tổng hợp'!$B:$BB,28,0),"")</f>
        <v>13210385</v>
      </c>
      <c r="AB36" s="240">
        <f>IFERROR(VLOOKUP($B36,'Bảng tổng hợp'!$B:$BB,38,0),"")</f>
        <v>1720000</v>
      </c>
      <c r="AC36" s="240">
        <f>IFERROR(VLOOKUP($B36,'Bảng tổng hợp'!$B:$BB,39,0),"")</f>
        <v>160000</v>
      </c>
      <c r="AD36" s="240">
        <f>IFERROR(VLOOKUP($B36,'Bảng tổng hợp'!$B:$BB,43,0),"")</f>
        <v>840000</v>
      </c>
      <c r="AE36" s="240">
        <f>IFERROR(VLOOKUP($B36,'Bảng tổng hợp'!$B:$BB,44,0),"")</f>
        <v>0</v>
      </c>
      <c r="AF36" s="240">
        <f>IFERROR(VLOOKUP($B36,'Bảng tổng hợp'!$B:$BB,52,0),"")</f>
        <v>0</v>
      </c>
      <c r="AG36" s="240">
        <f>IFERROR(VLOOKUP($B36,'Bảng tổng hợp'!$B:$BB,48,0),"")</f>
        <v>15500000</v>
      </c>
      <c r="AH36" s="240">
        <f>IFERROR(VLOOKUP($B36,'Bảng tổng hợp'!$B:$BB,49,0),"")</f>
        <v>8500000</v>
      </c>
      <c r="AI36" s="240">
        <f>IFERROR(VLOOKUP($B36,'Bảng tổng hợp'!$B:$BB,50,0),"")</f>
        <v>0</v>
      </c>
      <c r="AJ36" s="240">
        <f>IFERROR(VLOOKUP($B36,'Bảng tổng hợp'!$B:$BB,51,0),"")</f>
        <v>0</v>
      </c>
      <c r="AK36" s="240">
        <f>IFERROR(VLOOKUP($B36,'Bảng tổng hợp'!$B:$BB,53,0),"")</f>
        <v>12370385</v>
      </c>
    </row>
    <row r="37" spans="1:37" s="241" customFormat="1" ht="39.75" customHeight="1" x14ac:dyDescent="0.25">
      <c r="A37" s="237">
        <v>19</v>
      </c>
      <c r="B37" s="238" t="str">
        <f>+'Bảng tổng hợp'!B20</f>
        <v>NV015</v>
      </c>
      <c r="C37" s="239" t="str">
        <f>IFERROR(VLOOKUP($B37,'Bảng tổng hợp'!$B:$BB,2,0),"")</f>
        <v>Võ Thị Hoà</v>
      </c>
      <c r="D37" s="240" t="str">
        <f>IFERROR(VLOOKUP($B37,'Bảng tổng hợp'!$B:$BB,3,0),"")</f>
        <v>HĐLĐ</v>
      </c>
      <c r="E37" s="240" t="str">
        <f>IFERROR(VLOOKUP($B37,'Bảng tổng hợp'!$B:$BB,4,0),"")</f>
        <v>Tổ trưởng tổ 1</v>
      </c>
      <c r="F37" s="240" t="str">
        <f>IFERROR(VLOOKUP($B37,'Bảng tổng hợp'!$B:$BB,5,0),"")</f>
        <v>Sản xuất</v>
      </c>
      <c r="G37" s="240">
        <f>IFERROR(VLOOKUP($B37,'Bảng tổng hợp'!$B:$BB,7,0),"")</f>
        <v>7500000</v>
      </c>
      <c r="H37" s="240">
        <f>IFERROR(VLOOKUP($B37,'Bảng tổng hợp'!$B:$BB,8,0),"")</f>
        <v>1000000</v>
      </c>
      <c r="I37" s="240">
        <f>IFERROR(VLOOKUP($B37,'Bảng tổng hợp'!$B:$BB,9,0),"")</f>
        <v>1800000</v>
      </c>
      <c r="J37" s="240">
        <f>IFERROR(VLOOKUP($B37,'Bảng tổng hợp'!$B:$BB,10,0),"")</f>
        <v>500000</v>
      </c>
      <c r="K37" s="240">
        <f>IFERROR(VLOOKUP($B37,'Bảng tổng hợp'!$B:$BB,11,0),"")</f>
        <v>300000</v>
      </c>
      <c r="L37" s="240">
        <f>IFERROR(VLOOKUP($B37,'Bảng tổng hợp'!$B:$BB,12,0),"")</f>
        <v>400000</v>
      </c>
      <c r="M37" s="240">
        <f>IFERROR(VLOOKUP($B37,'Bảng tổng hợp'!$B:$BB,13,0),"")</f>
        <v>11500000</v>
      </c>
      <c r="N37" s="240">
        <f>IFERROR(VLOOKUP($B37,'Bảng tổng hợp'!$B:$BB,6,0),"")</f>
        <v>8500000</v>
      </c>
      <c r="O37" s="314">
        <f>VLOOKUP(B37,'Bảng tổng hợp'!$B$4:$O$47,14,0)</f>
        <v>26</v>
      </c>
      <c r="P37" s="240">
        <f>VLOOKUP(B37,'Bảng tổng hợp'!$B$4:$AA$41,23,0)</f>
        <v>1800000</v>
      </c>
      <c r="Q37" s="240">
        <f>VLOOKUP(B37,'Bảng tổng hợp'!$B$4:$AA$41,24,0)</f>
        <v>500000</v>
      </c>
      <c r="R37" s="240">
        <f>VLOOKUP(B37,'Bảng tổng hợp'!$B$4:$AA$41,25,0)</f>
        <v>300000</v>
      </c>
      <c r="S37" s="240">
        <f>VLOOKUP(B37,'Bảng tổng hợp'!$B$4:$AA$41,26,0)</f>
        <v>400000</v>
      </c>
      <c r="T37" s="240">
        <f>IFERROR(VLOOKUP($B37,'Bảng tổng hợp'!$B:$BB,15,0),"")</f>
        <v>0</v>
      </c>
      <c r="U37" s="240">
        <f>IFERROR(VLOOKUP($B37,'Bảng tổng hợp'!$B:$BB,16,0),"")</f>
        <v>0</v>
      </c>
      <c r="V37" s="314">
        <f>VLOOKUP($B37,'Bảng tổng hợp'!$B:$BB,17,0)</f>
        <v>21.47</v>
      </c>
      <c r="W37" s="240">
        <f>IFERROR(VLOOKUP($B37,'Bảng tổng hợp'!$B:$BB,18,0),"")</f>
        <v>1316070</v>
      </c>
      <c r="X37" s="314">
        <f>VLOOKUP($B37,'Bảng tổng hợp'!$B:$BB,19,0)</f>
        <v>0</v>
      </c>
      <c r="Y37" s="240">
        <f>IFERROR(VLOOKUP($B37,'Bảng tổng hợp'!$B:$BB,20,0),"")</f>
        <v>0</v>
      </c>
      <c r="Z37" s="240">
        <f>IFERROR(VLOOKUP($B37,'Bảng tổng hợp'!$B:$BB,27,0),"")</f>
        <v>0</v>
      </c>
      <c r="AA37" s="240">
        <f>IFERROR(VLOOKUP($B37,'Bảng tổng hợp'!$B:$BB,28,0),"")</f>
        <v>12816070</v>
      </c>
      <c r="AB37" s="240">
        <f>IFERROR(VLOOKUP($B37,'Bảng tổng hợp'!$B:$BB,38,0),"")</f>
        <v>1827500</v>
      </c>
      <c r="AC37" s="240">
        <f>IFERROR(VLOOKUP($B37,'Bảng tổng hợp'!$B:$BB,39,0),"")</f>
        <v>170000</v>
      </c>
      <c r="AD37" s="240">
        <f>IFERROR(VLOOKUP($B37,'Bảng tổng hợp'!$B:$BB,43,0),"")</f>
        <v>892500</v>
      </c>
      <c r="AE37" s="240">
        <f>IFERROR(VLOOKUP($B37,'Bảng tổng hợp'!$B:$BB,44,0),"")</f>
        <v>0</v>
      </c>
      <c r="AF37" s="240">
        <f>IFERROR(VLOOKUP($B37,'Bảng tổng hợp'!$B:$BB,52,0),"")</f>
        <v>0</v>
      </c>
      <c r="AG37" s="240">
        <f>IFERROR(VLOOKUP($B37,'Bảng tổng hợp'!$B:$BB,48,0),"")</f>
        <v>15500000</v>
      </c>
      <c r="AH37" s="240">
        <f>IFERROR(VLOOKUP($B37,'Bảng tổng hợp'!$B:$BB,49,0),"")</f>
        <v>9000000</v>
      </c>
      <c r="AI37" s="240">
        <f>IFERROR(VLOOKUP($B37,'Bảng tổng hợp'!$B:$BB,50,0),"")</f>
        <v>0</v>
      </c>
      <c r="AJ37" s="240">
        <f>IFERROR(VLOOKUP($B37,'Bảng tổng hợp'!$B:$BB,51,0),"")</f>
        <v>0</v>
      </c>
      <c r="AK37" s="240">
        <f>IFERROR(VLOOKUP($B37,'Bảng tổng hợp'!$B:$BB,53,0),"")</f>
        <v>11923570</v>
      </c>
    </row>
    <row r="38" spans="1:37" s="241" customFormat="1" ht="39.75" customHeight="1" x14ac:dyDescent="0.25">
      <c r="A38" s="237">
        <v>20</v>
      </c>
      <c r="B38" s="238" t="str">
        <f>+'Bảng tổng hợp'!B21</f>
        <v>NV021</v>
      </c>
      <c r="C38" s="239" t="str">
        <f>IFERROR(VLOOKUP($B38,'Bảng tổng hợp'!$B:$BB,2,0),"")</f>
        <v>Võ Thị Hoài</v>
      </c>
      <c r="D38" s="240" t="str">
        <f>IFERROR(VLOOKUP($B38,'Bảng tổng hợp'!$B:$BB,3,0),"")</f>
        <v>HĐLĐ</v>
      </c>
      <c r="E38" s="240" t="str">
        <f>IFERROR(VLOOKUP($B38,'Bảng tổng hợp'!$B:$BB,4,0),"")</f>
        <v>Tổ trưởng tổ 2</v>
      </c>
      <c r="F38" s="240" t="str">
        <f>IFERROR(VLOOKUP($B38,'Bảng tổng hợp'!$B:$BB,5,0),"")</f>
        <v>Sản xuất</v>
      </c>
      <c r="G38" s="240">
        <f>IFERROR(VLOOKUP($B38,'Bảng tổng hợp'!$B:$BB,7,0),"")</f>
        <v>7500000</v>
      </c>
      <c r="H38" s="240">
        <f>IFERROR(VLOOKUP($B38,'Bảng tổng hợp'!$B:$BB,8,0),"")</f>
        <v>1000000</v>
      </c>
      <c r="I38" s="240">
        <f>IFERROR(VLOOKUP($B38,'Bảng tổng hợp'!$B:$BB,9,0),"")</f>
        <v>1800000</v>
      </c>
      <c r="J38" s="240">
        <f>IFERROR(VLOOKUP($B38,'Bảng tổng hợp'!$B:$BB,10,0),"")</f>
        <v>500000</v>
      </c>
      <c r="K38" s="240">
        <f>IFERROR(VLOOKUP($B38,'Bảng tổng hợp'!$B:$BB,11,0),"")</f>
        <v>300000</v>
      </c>
      <c r="L38" s="240">
        <f>IFERROR(VLOOKUP($B38,'Bảng tổng hợp'!$B:$BB,12,0),"")</f>
        <v>400000</v>
      </c>
      <c r="M38" s="240">
        <f>IFERROR(VLOOKUP($B38,'Bảng tổng hợp'!$B:$BB,13,0),"")</f>
        <v>11500000</v>
      </c>
      <c r="N38" s="240">
        <f>IFERROR(VLOOKUP($B38,'Bảng tổng hợp'!$B:$BB,6,0),"")</f>
        <v>8500000</v>
      </c>
      <c r="O38" s="314">
        <f>VLOOKUP(B38,'Bảng tổng hợp'!$B$4:$O$47,14,0)</f>
        <v>25</v>
      </c>
      <c r="P38" s="240">
        <f>VLOOKUP(B38,'Bảng tổng hợp'!$B$4:$AA$41,23,0)</f>
        <v>1730769.2307692308</v>
      </c>
      <c r="Q38" s="240">
        <f>VLOOKUP(B38,'Bảng tổng hợp'!$B$4:$AA$41,24,0)</f>
        <v>480769.23076923075</v>
      </c>
      <c r="R38" s="240">
        <f>VLOOKUP(B38,'Bảng tổng hợp'!$B$4:$AA$41,25,0)</f>
        <v>288461.5384615385</v>
      </c>
      <c r="S38" s="240">
        <f>VLOOKUP(B38,'Bảng tổng hợp'!$B$4:$AA$41,26,0)</f>
        <v>400000</v>
      </c>
      <c r="T38" s="240">
        <f>IFERROR(VLOOKUP($B38,'Bảng tổng hợp'!$B:$BB,15,0),"")</f>
        <v>1</v>
      </c>
      <c r="U38" s="240">
        <f>IFERROR(VLOOKUP($B38,'Bảng tổng hợp'!$B:$BB,16,0),"")</f>
        <v>326923.07692307694</v>
      </c>
      <c r="V38" s="314">
        <f>VLOOKUP($B38,'Bảng tổng hợp'!$B:$BB,17,0)</f>
        <v>39.049999999999997</v>
      </c>
      <c r="W38" s="240">
        <f>IFERROR(VLOOKUP($B38,'Bảng tổng hợp'!$B:$BB,18,0),"")</f>
        <v>2393690</v>
      </c>
      <c r="X38" s="314">
        <f>VLOOKUP($B38,'Bảng tổng hợp'!$B:$BB,19,0)</f>
        <v>0</v>
      </c>
      <c r="Y38" s="240">
        <f>IFERROR(VLOOKUP($B38,'Bảng tổng hợp'!$B:$BB,20,0),"")</f>
        <v>0</v>
      </c>
      <c r="Z38" s="240">
        <f>IFERROR(VLOOKUP($B38,'Bảng tổng hợp'!$B:$BB,27,0),"")</f>
        <v>0</v>
      </c>
      <c r="AA38" s="240">
        <f>IFERROR(VLOOKUP($B38,'Bảng tổng hợp'!$B:$BB,28,0),"")</f>
        <v>13793689.999999996</v>
      </c>
      <c r="AB38" s="240">
        <f>IFERROR(VLOOKUP($B38,'Bảng tổng hợp'!$B:$BB,38,0),"")</f>
        <v>1827500</v>
      </c>
      <c r="AC38" s="240">
        <f>IFERROR(VLOOKUP($B38,'Bảng tổng hợp'!$B:$BB,39,0),"")</f>
        <v>170000</v>
      </c>
      <c r="AD38" s="240">
        <f>IFERROR(VLOOKUP($B38,'Bảng tổng hợp'!$B:$BB,43,0),"")</f>
        <v>892500</v>
      </c>
      <c r="AE38" s="240">
        <f>IFERROR(VLOOKUP($B38,'Bảng tổng hợp'!$B:$BB,44,0),"")</f>
        <v>0</v>
      </c>
      <c r="AF38" s="240">
        <f>IFERROR(VLOOKUP($B38,'Bảng tổng hợp'!$B:$BB,52,0),"")</f>
        <v>0</v>
      </c>
      <c r="AG38" s="240">
        <f>IFERROR(VLOOKUP($B38,'Bảng tổng hợp'!$B:$BB,48,0),"")</f>
        <v>15500000</v>
      </c>
      <c r="AH38" s="240">
        <f>IFERROR(VLOOKUP($B38,'Bảng tổng hợp'!$B:$BB,49,0),"")</f>
        <v>8980769</v>
      </c>
      <c r="AI38" s="240">
        <f>IFERROR(VLOOKUP($B38,'Bảng tổng hợp'!$B:$BB,50,0),"")</f>
        <v>0</v>
      </c>
      <c r="AJ38" s="240">
        <f>IFERROR(VLOOKUP($B38,'Bảng tổng hợp'!$B:$BB,51,0),"")</f>
        <v>0</v>
      </c>
      <c r="AK38" s="240">
        <f>IFERROR(VLOOKUP($B38,'Bảng tổng hợp'!$B:$BB,53,0),"")</f>
        <v>12901190</v>
      </c>
    </row>
    <row r="39" spans="1:37" s="241" customFormat="1" ht="39.75" customHeight="1" x14ac:dyDescent="0.25">
      <c r="A39" s="237">
        <v>21</v>
      </c>
      <c r="B39" s="238" t="str">
        <f>+'Bảng tổng hợp'!B22</f>
        <v>NV016</v>
      </c>
      <c r="C39" s="239" t="str">
        <f>IFERROR(VLOOKUP($B39,'Bảng tổng hợp'!$B:$BB,2,0),"")</f>
        <v>Cao Ngân Giang</v>
      </c>
      <c r="D39" s="240" t="str">
        <f>IFERROR(VLOOKUP($B39,'Bảng tổng hợp'!$B:$BB,3,0),"")</f>
        <v>HĐLĐ</v>
      </c>
      <c r="E39" s="240" t="str">
        <f>IFERROR(VLOOKUP($B39,'Bảng tổng hợp'!$B:$BB,4,0),"")</f>
        <v>Nhân viên</v>
      </c>
      <c r="F39" s="240" t="str">
        <f>IFERROR(VLOOKUP($B39,'Bảng tổng hợp'!$B:$BB,5,0),"")</f>
        <v>Sản xuất</v>
      </c>
      <c r="G39" s="240">
        <f>IFERROR(VLOOKUP($B39,'Bảng tổng hợp'!$B:$BB,7,0),"")</f>
        <v>6500000</v>
      </c>
      <c r="H39" s="240">
        <f>IFERROR(VLOOKUP($B39,'Bảng tổng hợp'!$B:$BB,8,0),"")</f>
        <v>500000</v>
      </c>
      <c r="I39" s="240">
        <f>IFERROR(VLOOKUP($B39,'Bảng tổng hợp'!$B:$BB,9,0),"")</f>
        <v>1000000</v>
      </c>
      <c r="J39" s="240">
        <f>IFERROR(VLOOKUP($B39,'Bảng tổng hợp'!$B:$BB,10,0),"")</f>
        <v>500000</v>
      </c>
      <c r="K39" s="240">
        <f>IFERROR(VLOOKUP($B39,'Bảng tổng hợp'!$B:$BB,11,0),"")</f>
        <v>300000</v>
      </c>
      <c r="L39" s="240">
        <f>IFERROR(VLOOKUP($B39,'Bảng tổng hợp'!$B:$BB,12,0),"")</f>
        <v>400000</v>
      </c>
      <c r="M39" s="240">
        <f>IFERROR(VLOOKUP($B39,'Bảng tổng hợp'!$B:$BB,13,0),"")</f>
        <v>9200000</v>
      </c>
      <c r="N39" s="240">
        <f>IFERROR(VLOOKUP($B39,'Bảng tổng hợp'!$B:$BB,6,0),"")</f>
        <v>7000000</v>
      </c>
      <c r="O39" s="314">
        <f>VLOOKUP(B39,'Bảng tổng hợp'!$B$4:$O$47,14,0)</f>
        <v>26</v>
      </c>
      <c r="P39" s="240">
        <f>VLOOKUP(B39,'Bảng tổng hợp'!$B$4:$AA$41,23,0)</f>
        <v>1000000</v>
      </c>
      <c r="Q39" s="240">
        <f>VLOOKUP(B39,'Bảng tổng hợp'!$B$4:$AA$41,24,0)</f>
        <v>500000</v>
      </c>
      <c r="R39" s="240">
        <f>VLOOKUP(B39,'Bảng tổng hợp'!$B$4:$AA$41,25,0)</f>
        <v>300000</v>
      </c>
      <c r="S39" s="240">
        <f>VLOOKUP(B39,'Bảng tổng hợp'!$B$4:$AA$41,26,0)</f>
        <v>400000</v>
      </c>
      <c r="T39" s="240">
        <f>IFERROR(VLOOKUP($B39,'Bảng tổng hợp'!$B:$BB,15,0),"")</f>
        <v>0</v>
      </c>
      <c r="U39" s="240">
        <f>IFERROR(VLOOKUP($B39,'Bảng tổng hợp'!$B:$BB,16,0),"")</f>
        <v>0</v>
      </c>
      <c r="V39" s="314">
        <f>VLOOKUP($B39,'Bảng tổng hợp'!$B:$BB,17,0)</f>
        <v>29.33</v>
      </c>
      <c r="W39" s="240">
        <f>IFERROR(VLOOKUP($B39,'Bảng tổng hợp'!$B:$BB,18,0),"")</f>
        <v>1480601</v>
      </c>
      <c r="X39" s="314">
        <f>VLOOKUP($B39,'Bảng tổng hợp'!$B:$BB,19,0)</f>
        <v>0</v>
      </c>
      <c r="Y39" s="240">
        <f>IFERROR(VLOOKUP($B39,'Bảng tổng hợp'!$B:$BB,20,0),"")</f>
        <v>0</v>
      </c>
      <c r="Z39" s="240">
        <f>IFERROR(VLOOKUP($B39,'Bảng tổng hợp'!$B:$BB,27,0),"")</f>
        <v>0</v>
      </c>
      <c r="AA39" s="240">
        <f>IFERROR(VLOOKUP($B39,'Bảng tổng hợp'!$B:$BB,28,0),"")</f>
        <v>10680601</v>
      </c>
      <c r="AB39" s="240">
        <f>IFERROR(VLOOKUP($B39,'Bảng tổng hợp'!$B:$BB,38,0),"")</f>
        <v>1505000</v>
      </c>
      <c r="AC39" s="240">
        <f>IFERROR(VLOOKUP($B39,'Bảng tổng hợp'!$B:$BB,39,0),"")</f>
        <v>140000</v>
      </c>
      <c r="AD39" s="240">
        <f>IFERROR(VLOOKUP($B39,'Bảng tổng hợp'!$B:$BB,43,0),"")</f>
        <v>735000</v>
      </c>
      <c r="AE39" s="240">
        <f>IFERROR(VLOOKUP($B39,'Bảng tổng hợp'!$B:$BB,44,0),"")</f>
        <v>0</v>
      </c>
      <c r="AF39" s="240">
        <f>IFERROR(VLOOKUP($B39,'Bảng tổng hợp'!$B:$BB,52,0),"")</f>
        <v>0</v>
      </c>
      <c r="AG39" s="240">
        <f>IFERROR(VLOOKUP($B39,'Bảng tổng hợp'!$B:$BB,48,0),"")</f>
        <v>15500000</v>
      </c>
      <c r="AH39" s="240">
        <f>IFERROR(VLOOKUP($B39,'Bảng tổng hợp'!$B:$BB,49,0),"")</f>
        <v>7500000</v>
      </c>
      <c r="AI39" s="240">
        <f>IFERROR(VLOOKUP($B39,'Bảng tổng hợp'!$B:$BB,50,0),"")</f>
        <v>0</v>
      </c>
      <c r="AJ39" s="240">
        <f>IFERROR(VLOOKUP($B39,'Bảng tổng hợp'!$B:$BB,51,0),"")</f>
        <v>0</v>
      </c>
      <c r="AK39" s="240">
        <f>IFERROR(VLOOKUP($B39,'Bảng tổng hợp'!$B:$BB,53,0),"")</f>
        <v>9945601</v>
      </c>
    </row>
    <row r="40" spans="1:37" s="241" customFormat="1" ht="39.75" customHeight="1" x14ac:dyDescent="0.25">
      <c r="A40" s="237">
        <v>22</v>
      </c>
      <c r="B40" s="238" t="str">
        <f>+'Bảng tổng hợp'!B23</f>
        <v>NV017</v>
      </c>
      <c r="C40" s="239" t="str">
        <f>IFERROR(VLOOKUP($B40,'Bảng tổng hợp'!$B:$BB,2,0),"")</f>
        <v>Lê Thị Hà</v>
      </c>
      <c r="D40" s="240" t="str">
        <f>IFERROR(VLOOKUP($B40,'Bảng tổng hợp'!$B:$BB,3,0),"")</f>
        <v>HĐLĐ</v>
      </c>
      <c r="E40" s="240" t="str">
        <f>IFERROR(VLOOKUP($B40,'Bảng tổng hợp'!$B:$BB,4,0),"")</f>
        <v>Nhân viên</v>
      </c>
      <c r="F40" s="240" t="str">
        <f>IFERROR(VLOOKUP($B40,'Bảng tổng hợp'!$B:$BB,5,0),"")</f>
        <v>Sản xuất</v>
      </c>
      <c r="G40" s="240">
        <f>IFERROR(VLOOKUP($B40,'Bảng tổng hợp'!$B:$BB,7,0),"")</f>
        <v>6500000</v>
      </c>
      <c r="H40" s="240">
        <f>IFERROR(VLOOKUP($B40,'Bảng tổng hợp'!$B:$BB,8,0),"")</f>
        <v>500000</v>
      </c>
      <c r="I40" s="240">
        <f>IFERROR(VLOOKUP($B40,'Bảng tổng hợp'!$B:$BB,9,0),"")</f>
        <v>1000000</v>
      </c>
      <c r="J40" s="240">
        <f>IFERROR(VLOOKUP($B40,'Bảng tổng hợp'!$B:$BB,10,0),"")</f>
        <v>500000</v>
      </c>
      <c r="K40" s="240">
        <f>IFERROR(VLOOKUP($B40,'Bảng tổng hợp'!$B:$BB,11,0),"")</f>
        <v>300000</v>
      </c>
      <c r="L40" s="240">
        <f>IFERROR(VLOOKUP($B40,'Bảng tổng hợp'!$B:$BB,12,0),"")</f>
        <v>400000</v>
      </c>
      <c r="M40" s="240">
        <f>IFERROR(VLOOKUP($B40,'Bảng tổng hợp'!$B:$BB,13,0),"")</f>
        <v>9200000</v>
      </c>
      <c r="N40" s="240">
        <f>IFERROR(VLOOKUP($B40,'Bảng tổng hợp'!$B:$BB,6,0),"")</f>
        <v>7000000</v>
      </c>
      <c r="O40" s="314">
        <f>VLOOKUP(B40,'Bảng tổng hợp'!$B$4:$O$47,14,0)</f>
        <v>25</v>
      </c>
      <c r="P40" s="240">
        <f>VLOOKUP(B40,'Bảng tổng hợp'!$B$4:$AA$41,23,0)</f>
        <v>961538.4615384615</v>
      </c>
      <c r="Q40" s="240">
        <f>VLOOKUP(B40,'Bảng tổng hợp'!$B$4:$AA$41,24,0)</f>
        <v>480769.23076923075</v>
      </c>
      <c r="R40" s="240">
        <f>VLOOKUP(B40,'Bảng tổng hợp'!$B$4:$AA$41,25,0)</f>
        <v>288461.5384615385</v>
      </c>
      <c r="S40" s="240">
        <f>VLOOKUP(B40,'Bảng tổng hợp'!$B$4:$AA$41,26,0)</f>
        <v>400000</v>
      </c>
      <c r="T40" s="240">
        <f>IFERROR(VLOOKUP($B40,'Bảng tổng hợp'!$B:$BB,15,0),"")</f>
        <v>1</v>
      </c>
      <c r="U40" s="240">
        <f>IFERROR(VLOOKUP($B40,'Bảng tổng hợp'!$B:$BB,16,0),"")</f>
        <v>269230.76923076925</v>
      </c>
      <c r="V40" s="314">
        <f>VLOOKUP($B40,'Bảng tổng hợp'!$B:$BB,17,0)</f>
        <v>12.333</v>
      </c>
      <c r="W40" s="240">
        <f>IFERROR(VLOOKUP($B40,'Bảng tổng hợp'!$B:$BB,18,0),"")</f>
        <v>622579</v>
      </c>
      <c r="X40" s="314">
        <f>VLOOKUP($B40,'Bảng tổng hợp'!$B:$BB,19,0)</f>
        <v>0</v>
      </c>
      <c r="Y40" s="240">
        <f>IFERROR(VLOOKUP($B40,'Bảng tổng hợp'!$B:$BB,20,0),"")</f>
        <v>0</v>
      </c>
      <c r="Z40" s="240">
        <f>IFERROR(VLOOKUP($B40,'Bảng tổng hợp'!$B:$BB,27,0),"")</f>
        <v>0</v>
      </c>
      <c r="AA40" s="240">
        <f>IFERROR(VLOOKUP($B40,'Bảng tổng hợp'!$B:$BB,28,0),"")</f>
        <v>9753348.2307692319</v>
      </c>
      <c r="AB40" s="240">
        <f>IFERROR(VLOOKUP($B40,'Bảng tổng hợp'!$B:$BB,38,0),"")</f>
        <v>1505000</v>
      </c>
      <c r="AC40" s="240">
        <f>IFERROR(VLOOKUP($B40,'Bảng tổng hợp'!$B:$BB,39,0),"")</f>
        <v>140000</v>
      </c>
      <c r="AD40" s="240">
        <f>IFERROR(VLOOKUP($B40,'Bảng tổng hợp'!$B:$BB,43,0),"")</f>
        <v>735000</v>
      </c>
      <c r="AE40" s="240">
        <f>IFERROR(VLOOKUP($B40,'Bảng tổng hợp'!$B:$BB,44,0),"")</f>
        <v>0</v>
      </c>
      <c r="AF40" s="240">
        <f>IFERROR(VLOOKUP($B40,'Bảng tổng hợp'!$B:$BB,52,0),"")</f>
        <v>0</v>
      </c>
      <c r="AG40" s="240">
        <f>IFERROR(VLOOKUP($B40,'Bảng tổng hợp'!$B:$BB,48,0),"")</f>
        <v>15500000</v>
      </c>
      <c r="AH40" s="240">
        <f>IFERROR(VLOOKUP($B40,'Bảng tổng hợp'!$B:$BB,49,0),"")</f>
        <v>7480769</v>
      </c>
      <c r="AI40" s="240">
        <f>IFERROR(VLOOKUP($B40,'Bảng tổng hợp'!$B:$BB,50,0),"")</f>
        <v>0</v>
      </c>
      <c r="AJ40" s="240">
        <f>IFERROR(VLOOKUP($B40,'Bảng tổng hợp'!$B:$BB,51,0),"")</f>
        <v>0</v>
      </c>
      <c r="AK40" s="240">
        <f>IFERROR(VLOOKUP($B40,'Bảng tổng hợp'!$B:$BB,53,0),"")</f>
        <v>9018348</v>
      </c>
    </row>
    <row r="41" spans="1:37" s="241" customFormat="1" ht="39.75" customHeight="1" x14ac:dyDescent="0.25">
      <c r="A41" s="237">
        <v>23</v>
      </c>
      <c r="B41" s="238" t="str">
        <f>+'Bảng tổng hợp'!B24</f>
        <v>NV018</v>
      </c>
      <c r="C41" s="239" t="str">
        <f>IFERROR(VLOOKUP($B41,'Bảng tổng hợp'!$B:$BB,2,0),"")</f>
        <v>Nguyễn A Khương</v>
      </c>
      <c r="D41" s="240" t="str">
        <f>IFERROR(VLOOKUP($B41,'Bảng tổng hợp'!$B:$BB,3,0),"")</f>
        <v>HĐLĐ</v>
      </c>
      <c r="E41" s="240" t="str">
        <f>IFERROR(VLOOKUP($B41,'Bảng tổng hợp'!$B:$BB,4,0),"")</f>
        <v>Nhân viên</v>
      </c>
      <c r="F41" s="240" t="str">
        <f>IFERROR(VLOOKUP($B41,'Bảng tổng hợp'!$B:$BB,5,0),"")</f>
        <v>Sản xuất</v>
      </c>
      <c r="G41" s="240">
        <f>IFERROR(VLOOKUP($B41,'Bảng tổng hợp'!$B:$BB,7,0),"")</f>
        <v>6500000</v>
      </c>
      <c r="H41" s="240">
        <f>IFERROR(VLOOKUP($B41,'Bảng tổng hợp'!$B:$BB,8,0),"")</f>
        <v>500000</v>
      </c>
      <c r="I41" s="240">
        <f>IFERROR(VLOOKUP($B41,'Bảng tổng hợp'!$B:$BB,9,0),"")</f>
        <v>1000000</v>
      </c>
      <c r="J41" s="240">
        <f>IFERROR(VLOOKUP($B41,'Bảng tổng hợp'!$B:$BB,10,0),"")</f>
        <v>500000</v>
      </c>
      <c r="K41" s="240">
        <f>IFERROR(VLOOKUP($B41,'Bảng tổng hợp'!$B:$BB,11,0),"")</f>
        <v>300000</v>
      </c>
      <c r="L41" s="240">
        <f>IFERROR(VLOOKUP($B41,'Bảng tổng hợp'!$B:$BB,12,0),"")</f>
        <v>400000</v>
      </c>
      <c r="M41" s="240">
        <f>IFERROR(VLOOKUP($B41,'Bảng tổng hợp'!$B:$BB,13,0),"")</f>
        <v>9200000</v>
      </c>
      <c r="N41" s="240">
        <f>IFERROR(VLOOKUP($B41,'Bảng tổng hợp'!$B:$BB,6,0),"")</f>
        <v>7000000</v>
      </c>
      <c r="O41" s="314">
        <f>VLOOKUP(B41,'Bảng tổng hợp'!$B$4:$O$47,14,0)</f>
        <v>26</v>
      </c>
      <c r="P41" s="240">
        <f>VLOOKUP(B41,'Bảng tổng hợp'!$B$4:$AA$41,23,0)</f>
        <v>1000000</v>
      </c>
      <c r="Q41" s="240">
        <f>VLOOKUP(B41,'Bảng tổng hợp'!$B$4:$AA$41,24,0)</f>
        <v>500000</v>
      </c>
      <c r="R41" s="240">
        <f>VLOOKUP(B41,'Bảng tổng hợp'!$B$4:$AA$41,25,0)</f>
        <v>300000</v>
      </c>
      <c r="S41" s="240">
        <f>VLOOKUP(B41,'Bảng tổng hợp'!$B$4:$AA$41,26,0)</f>
        <v>400000</v>
      </c>
      <c r="T41" s="240">
        <f>IFERROR(VLOOKUP($B41,'Bảng tổng hợp'!$B:$BB,15,0),"")</f>
        <v>0</v>
      </c>
      <c r="U41" s="240">
        <f>IFERROR(VLOOKUP($B41,'Bảng tổng hợp'!$B:$BB,16,0),"")</f>
        <v>0</v>
      </c>
      <c r="V41" s="314">
        <f>VLOOKUP($B41,'Bảng tổng hợp'!$B:$BB,17,0)</f>
        <v>10.28</v>
      </c>
      <c r="W41" s="240">
        <f>IFERROR(VLOOKUP($B41,'Bảng tổng hợp'!$B:$BB,18,0),"")</f>
        <v>518942</v>
      </c>
      <c r="X41" s="314">
        <f>VLOOKUP($B41,'Bảng tổng hợp'!$B:$BB,19,0)</f>
        <v>0</v>
      </c>
      <c r="Y41" s="240">
        <f>IFERROR(VLOOKUP($B41,'Bảng tổng hợp'!$B:$BB,20,0),"")</f>
        <v>0</v>
      </c>
      <c r="Z41" s="240">
        <f>IFERROR(VLOOKUP($B41,'Bảng tổng hợp'!$B:$BB,27,0),"")</f>
        <v>0</v>
      </c>
      <c r="AA41" s="240">
        <f>IFERROR(VLOOKUP($B41,'Bảng tổng hợp'!$B:$BB,28,0),"")</f>
        <v>9718942</v>
      </c>
      <c r="AB41" s="240">
        <f>IFERROR(VLOOKUP($B41,'Bảng tổng hợp'!$B:$BB,38,0),"")</f>
        <v>1505000</v>
      </c>
      <c r="AC41" s="240">
        <f>IFERROR(VLOOKUP($B41,'Bảng tổng hợp'!$B:$BB,39,0),"")</f>
        <v>140000</v>
      </c>
      <c r="AD41" s="240">
        <f>IFERROR(VLOOKUP($B41,'Bảng tổng hợp'!$B:$BB,43,0),"")</f>
        <v>735000</v>
      </c>
      <c r="AE41" s="240">
        <f>IFERROR(VLOOKUP($B41,'Bảng tổng hợp'!$B:$BB,44,0),"")</f>
        <v>0</v>
      </c>
      <c r="AF41" s="240">
        <f>IFERROR(VLOOKUP($B41,'Bảng tổng hợp'!$B:$BB,52,0),"")</f>
        <v>0</v>
      </c>
      <c r="AG41" s="240">
        <f>IFERROR(VLOOKUP($B41,'Bảng tổng hợp'!$B:$BB,48,0),"")</f>
        <v>15500000</v>
      </c>
      <c r="AH41" s="240">
        <f>IFERROR(VLOOKUP($B41,'Bảng tổng hợp'!$B:$BB,49,0),"")</f>
        <v>7500000</v>
      </c>
      <c r="AI41" s="240">
        <f>IFERROR(VLOOKUP($B41,'Bảng tổng hợp'!$B:$BB,50,0),"")</f>
        <v>0</v>
      </c>
      <c r="AJ41" s="240">
        <f>IFERROR(VLOOKUP($B41,'Bảng tổng hợp'!$B:$BB,51,0),"")</f>
        <v>0</v>
      </c>
      <c r="AK41" s="240">
        <f>IFERROR(VLOOKUP($B41,'Bảng tổng hợp'!$B:$BB,53,0),"")</f>
        <v>8983942</v>
      </c>
    </row>
    <row r="42" spans="1:37" s="241" customFormat="1" ht="39.75" customHeight="1" x14ac:dyDescent="0.25">
      <c r="A42" s="237">
        <v>24</v>
      </c>
      <c r="B42" s="238" t="str">
        <f>+'Bảng tổng hợp'!B25</f>
        <v>NV019</v>
      </c>
      <c r="C42" s="239" t="str">
        <f>IFERROR(VLOOKUP($B42,'Bảng tổng hợp'!$B:$BB,2,0),"")</f>
        <v>Nguyễn Thị Minh Thoa</v>
      </c>
      <c r="D42" s="240" t="str">
        <f>IFERROR(VLOOKUP($B42,'Bảng tổng hợp'!$B:$BB,3,0),"")</f>
        <v>HĐLĐ</v>
      </c>
      <c r="E42" s="240" t="str">
        <f>IFERROR(VLOOKUP($B42,'Bảng tổng hợp'!$B:$BB,4,0),"")</f>
        <v>Nhân viên</v>
      </c>
      <c r="F42" s="240" t="str">
        <f>IFERROR(VLOOKUP($B42,'Bảng tổng hợp'!$B:$BB,5,0),"")</f>
        <v>Sản xuất</v>
      </c>
      <c r="G42" s="240">
        <f>IFERROR(VLOOKUP($B42,'Bảng tổng hợp'!$B:$BB,7,0),"")</f>
        <v>6500000</v>
      </c>
      <c r="H42" s="240">
        <f>IFERROR(VLOOKUP($B42,'Bảng tổng hợp'!$B:$BB,8,0),"")</f>
        <v>500000</v>
      </c>
      <c r="I42" s="240">
        <f>IFERROR(VLOOKUP($B42,'Bảng tổng hợp'!$B:$BB,9,0),"")</f>
        <v>1000000</v>
      </c>
      <c r="J42" s="240">
        <f>IFERROR(VLOOKUP($B42,'Bảng tổng hợp'!$B:$BB,10,0),"")</f>
        <v>500000</v>
      </c>
      <c r="K42" s="240">
        <f>IFERROR(VLOOKUP($B42,'Bảng tổng hợp'!$B:$BB,11,0),"")</f>
        <v>300000</v>
      </c>
      <c r="L42" s="240">
        <f>IFERROR(VLOOKUP($B42,'Bảng tổng hợp'!$B:$BB,12,0),"")</f>
        <v>400000</v>
      </c>
      <c r="M42" s="240">
        <f>IFERROR(VLOOKUP($B42,'Bảng tổng hợp'!$B:$BB,13,0),"")</f>
        <v>9200000</v>
      </c>
      <c r="N42" s="240">
        <f>IFERROR(VLOOKUP($B42,'Bảng tổng hợp'!$B:$BB,6,0),"")</f>
        <v>7000000</v>
      </c>
      <c r="O42" s="314">
        <f>VLOOKUP(B42,'Bảng tổng hợp'!$B$4:$O$47,14,0)</f>
        <v>24</v>
      </c>
      <c r="P42" s="240">
        <f>VLOOKUP(B42,'Bảng tổng hợp'!$B$4:$AA$41,23,0)</f>
        <v>923076.92307692301</v>
      </c>
      <c r="Q42" s="240">
        <f>VLOOKUP(B42,'Bảng tổng hợp'!$B$4:$AA$41,24,0)</f>
        <v>461538.4615384615</v>
      </c>
      <c r="R42" s="240">
        <f>VLOOKUP(B42,'Bảng tổng hợp'!$B$4:$AA$41,25,0)</f>
        <v>276923.07692307694</v>
      </c>
      <c r="S42" s="240">
        <f>VLOOKUP(B42,'Bảng tổng hợp'!$B$4:$AA$41,26,0)</f>
        <v>400000</v>
      </c>
      <c r="T42" s="240">
        <f>IFERROR(VLOOKUP($B42,'Bảng tổng hợp'!$B:$BB,15,0),"")</f>
        <v>2</v>
      </c>
      <c r="U42" s="240">
        <f>IFERROR(VLOOKUP($B42,'Bảng tổng hợp'!$B:$BB,16,0),"")</f>
        <v>538461.5384615385</v>
      </c>
      <c r="V42" s="314">
        <f>VLOOKUP($B42,'Bảng tổng hợp'!$B:$BB,17,0)</f>
        <v>25.46</v>
      </c>
      <c r="W42" s="240">
        <f>IFERROR(VLOOKUP($B42,'Bảng tổng hợp'!$B:$BB,18,0),"")</f>
        <v>1285240</v>
      </c>
      <c r="X42" s="314">
        <f>VLOOKUP($B42,'Bảng tổng hợp'!$B:$BB,19,0)</f>
        <v>0</v>
      </c>
      <c r="Y42" s="240">
        <f>IFERROR(VLOOKUP($B42,'Bảng tổng hợp'!$B:$BB,20,0),"")</f>
        <v>0</v>
      </c>
      <c r="Z42" s="240">
        <f>IFERROR(VLOOKUP($B42,'Bảng tổng hợp'!$B:$BB,27,0),"")</f>
        <v>0</v>
      </c>
      <c r="AA42" s="240">
        <f>IFERROR(VLOOKUP($B42,'Bảng tổng hợp'!$B:$BB,28,0),"")</f>
        <v>10346778.461538462</v>
      </c>
      <c r="AB42" s="240">
        <f>IFERROR(VLOOKUP($B42,'Bảng tổng hợp'!$B:$BB,38,0),"")</f>
        <v>1505000</v>
      </c>
      <c r="AC42" s="240">
        <f>IFERROR(VLOOKUP($B42,'Bảng tổng hợp'!$B:$BB,39,0),"")</f>
        <v>140000</v>
      </c>
      <c r="AD42" s="240">
        <f>IFERROR(VLOOKUP($B42,'Bảng tổng hợp'!$B:$BB,43,0),"")</f>
        <v>735000</v>
      </c>
      <c r="AE42" s="240">
        <f>IFERROR(VLOOKUP($B42,'Bảng tổng hợp'!$B:$BB,44,0),"")</f>
        <v>0</v>
      </c>
      <c r="AF42" s="240">
        <f>IFERROR(VLOOKUP($B42,'Bảng tổng hợp'!$B:$BB,52,0),"")</f>
        <v>0</v>
      </c>
      <c r="AG42" s="240">
        <f>IFERROR(VLOOKUP($B42,'Bảng tổng hợp'!$B:$BB,48,0),"")</f>
        <v>15500000</v>
      </c>
      <c r="AH42" s="240">
        <f>IFERROR(VLOOKUP($B42,'Bảng tổng hợp'!$B:$BB,49,0),"")</f>
        <v>7461538</v>
      </c>
      <c r="AI42" s="240">
        <f>IFERROR(VLOOKUP($B42,'Bảng tổng hợp'!$B:$BB,50,0),"")</f>
        <v>0</v>
      </c>
      <c r="AJ42" s="240">
        <f>IFERROR(VLOOKUP($B42,'Bảng tổng hợp'!$B:$BB,51,0),"")</f>
        <v>0</v>
      </c>
      <c r="AK42" s="240">
        <f>IFERROR(VLOOKUP($B42,'Bảng tổng hợp'!$B:$BB,53,0),"")</f>
        <v>9611778</v>
      </c>
    </row>
    <row r="43" spans="1:37" s="241" customFormat="1" ht="39.75" customHeight="1" x14ac:dyDescent="0.25">
      <c r="A43" s="237">
        <v>25</v>
      </c>
      <c r="B43" s="238" t="str">
        <f>+'Bảng tổng hợp'!B26</f>
        <v>NV022</v>
      </c>
      <c r="C43" s="239" t="str">
        <f>IFERROR(VLOOKUP($B43,'Bảng tổng hợp'!$B:$BB,2,0),"")</f>
        <v>Du Kim Hân</v>
      </c>
      <c r="D43" s="240" t="str">
        <f>IFERROR(VLOOKUP($B43,'Bảng tổng hợp'!$B:$BB,3,0),"")</f>
        <v>HĐLĐ</v>
      </c>
      <c r="E43" s="240" t="str">
        <f>IFERROR(VLOOKUP($B43,'Bảng tổng hợp'!$B:$BB,4,0),"")</f>
        <v>Nhân viên</v>
      </c>
      <c r="F43" s="240" t="str">
        <f>IFERROR(VLOOKUP($B43,'Bảng tổng hợp'!$B:$BB,5,0),"")</f>
        <v>Sản xuất</v>
      </c>
      <c r="G43" s="240">
        <f>IFERROR(VLOOKUP($B43,'Bảng tổng hợp'!$B:$BB,7,0),"")</f>
        <v>6500000</v>
      </c>
      <c r="H43" s="240">
        <f>IFERROR(VLOOKUP($B43,'Bảng tổng hợp'!$B:$BB,8,0),"")</f>
        <v>500000</v>
      </c>
      <c r="I43" s="240">
        <f>IFERROR(VLOOKUP($B43,'Bảng tổng hợp'!$B:$BB,9,0),"")</f>
        <v>1000000</v>
      </c>
      <c r="J43" s="240">
        <f>IFERROR(VLOOKUP($B43,'Bảng tổng hợp'!$B:$BB,10,0),"")</f>
        <v>500000</v>
      </c>
      <c r="K43" s="240">
        <f>IFERROR(VLOOKUP($B43,'Bảng tổng hợp'!$B:$BB,11,0),"")</f>
        <v>300000</v>
      </c>
      <c r="L43" s="240">
        <f>IFERROR(VLOOKUP($B43,'Bảng tổng hợp'!$B:$BB,12,0),"")</f>
        <v>400000</v>
      </c>
      <c r="M43" s="240">
        <f>IFERROR(VLOOKUP($B43,'Bảng tổng hợp'!$B:$BB,13,0),"")</f>
        <v>9200000</v>
      </c>
      <c r="N43" s="240">
        <f>IFERROR(VLOOKUP($B43,'Bảng tổng hợp'!$B:$BB,6,0),"")</f>
        <v>7000000</v>
      </c>
      <c r="O43" s="314">
        <f>VLOOKUP(B43,'Bảng tổng hợp'!$B$4:$O$47,14,0)</f>
        <v>25</v>
      </c>
      <c r="P43" s="240">
        <f>VLOOKUP(B43,'Bảng tổng hợp'!$B$4:$AA$41,23,0)</f>
        <v>961538.4615384615</v>
      </c>
      <c r="Q43" s="240">
        <f>VLOOKUP(B43,'Bảng tổng hợp'!$B$4:$AA$41,24,0)</f>
        <v>480769.23076923075</v>
      </c>
      <c r="R43" s="240">
        <f>VLOOKUP(B43,'Bảng tổng hợp'!$B$4:$AA$41,25,0)</f>
        <v>288461.5384615385</v>
      </c>
      <c r="S43" s="240">
        <f>VLOOKUP(B43,'Bảng tổng hợp'!$B$4:$AA$41,26,0)</f>
        <v>400000</v>
      </c>
      <c r="T43" s="240">
        <f>IFERROR(VLOOKUP($B43,'Bảng tổng hợp'!$B:$BB,15,0),"")</f>
        <v>1</v>
      </c>
      <c r="U43" s="240">
        <f>IFERROR(VLOOKUP($B43,'Bảng tổng hợp'!$B:$BB,16,0),"")</f>
        <v>269230.76923076925</v>
      </c>
      <c r="V43" s="314">
        <f>VLOOKUP($B43,'Bảng tổng hợp'!$B:$BB,17,0)</f>
        <v>21.075999999999997</v>
      </c>
      <c r="W43" s="240">
        <f>IFERROR(VLOOKUP($B43,'Bảng tổng hợp'!$B:$BB,18,0),"")</f>
        <v>1063933</v>
      </c>
      <c r="X43" s="314">
        <f>VLOOKUP($B43,'Bảng tổng hợp'!$B:$BB,19,0)</f>
        <v>0</v>
      </c>
      <c r="Y43" s="240">
        <f>IFERROR(VLOOKUP($B43,'Bảng tổng hợp'!$B:$BB,20,0),"")</f>
        <v>0</v>
      </c>
      <c r="Z43" s="240">
        <f>IFERROR(VLOOKUP($B43,'Bảng tổng hợp'!$B:$BB,27,0),"")</f>
        <v>0</v>
      </c>
      <c r="AA43" s="240">
        <f>IFERROR(VLOOKUP($B43,'Bảng tổng hợp'!$B:$BB,28,0),"")</f>
        <v>10194702.230769232</v>
      </c>
      <c r="AB43" s="240">
        <f>IFERROR(VLOOKUP($B43,'Bảng tổng hợp'!$B:$BB,38,0),"")</f>
        <v>1505000</v>
      </c>
      <c r="AC43" s="240">
        <f>IFERROR(VLOOKUP($B43,'Bảng tổng hợp'!$B:$BB,39,0),"")</f>
        <v>140000</v>
      </c>
      <c r="AD43" s="240">
        <f>IFERROR(VLOOKUP($B43,'Bảng tổng hợp'!$B:$BB,43,0),"")</f>
        <v>735000</v>
      </c>
      <c r="AE43" s="240">
        <f>IFERROR(VLOOKUP($B43,'Bảng tổng hợp'!$B:$BB,44,0),"")</f>
        <v>0</v>
      </c>
      <c r="AF43" s="240">
        <f>IFERROR(VLOOKUP($B43,'Bảng tổng hợp'!$B:$BB,52,0),"")</f>
        <v>0</v>
      </c>
      <c r="AG43" s="240">
        <f>IFERROR(VLOOKUP($B43,'Bảng tổng hợp'!$B:$BB,48,0),"")</f>
        <v>15500000</v>
      </c>
      <c r="AH43" s="240">
        <f>IFERROR(VLOOKUP($B43,'Bảng tổng hợp'!$B:$BB,49,0),"")</f>
        <v>7480769</v>
      </c>
      <c r="AI43" s="240">
        <f>IFERROR(VLOOKUP($B43,'Bảng tổng hợp'!$B:$BB,50,0),"")</f>
        <v>0</v>
      </c>
      <c r="AJ43" s="240">
        <f>IFERROR(VLOOKUP($B43,'Bảng tổng hợp'!$B:$BB,51,0),"")</f>
        <v>0</v>
      </c>
      <c r="AK43" s="240">
        <f>IFERROR(VLOOKUP($B43,'Bảng tổng hợp'!$B:$BB,53,0),"")</f>
        <v>9459702</v>
      </c>
    </row>
    <row r="44" spans="1:37" s="241" customFormat="1" ht="39.75" customHeight="1" x14ac:dyDescent="0.25">
      <c r="A44" s="237">
        <v>26</v>
      </c>
      <c r="B44" s="238" t="str">
        <f>+'Bảng tổng hợp'!B27</f>
        <v>NV023</v>
      </c>
      <c r="C44" s="239" t="str">
        <f>IFERROR(VLOOKUP($B44,'Bảng tổng hợp'!$B:$BB,2,0),"")</f>
        <v>Đặng Thu Sương</v>
      </c>
      <c r="D44" s="240" t="str">
        <f>IFERROR(VLOOKUP($B44,'Bảng tổng hợp'!$B:$BB,3,0),"")</f>
        <v>HĐLĐ</v>
      </c>
      <c r="E44" s="240" t="str">
        <f>IFERROR(VLOOKUP($B44,'Bảng tổng hợp'!$B:$BB,4,0),"")</f>
        <v>Nhân viên</v>
      </c>
      <c r="F44" s="240" t="str">
        <f>IFERROR(VLOOKUP($B44,'Bảng tổng hợp'!$B:$BB,5,0),"")</f>
        <v>Sản xuất</v>
      </c>
      <c r="G44" s="240">
        <f>IFERROR(VLOOKUP($B44,'Bảng tổng hợp'!$B:$BB,7,0),"")</f>
        <v>6500000</v>
      </c>
      <c r="H44" s="240">
        <f>IFERROR(VLOOKUP($B44,'Bảng tổng hợp'!$B:$BB,8,0),"")</f>
        <v>500000</v>
      </c>
      <c r="I44" s="240">
        <f>IFERROR(VLOOKUP($B44,'Bảng tổng hợp'!$B:$BB,9,0),"")</f>
        <v>1000000</v>
      </c>
      <c r="J44" s="240">
        <f>IFERROR(VLOOKUP($B44,'Bảng tổng hợp'!$B:$BB,10,0),"")</f>
        <v>500000</v>
      </c>
      <c r="K44" s="240">
        <f>IFERROR(VLOOKUP($B44,'Bảng tổng hợp'!$B:$BB,11,0),"")</f>
        <v>300000</v>
      </c>
      <c r="L44" s="240">
        <f>IFERROR(VLOOKUP($B44,'Bảng tổng hợp'!$B:$BB,12,0),"")</f>
        <v>400000</v>
      </c>
      <c r="M44" s="240">
        <f>IFERROR(VLOOKUP($B44,'Bảng tổng hợp'!$B:$BB,13,0),"")</f>
        <v>9200000</v>
      </c>
      <c r="N44" s="240">
        <f>IFERROR(VLOOKUP($B44,'Bảng tổng hợp'!$B:$BB,6,0),"")</f>
        <v>7000000</v>
      </c>
      <c r="O44" s="314">
        <f>VLOOKUP(B44,'Bảng tổng hợp'!$B$4:$O$47,14,0)</f>
        <v>26</v>
      </c>
      <c r="P44" s="240">
        <f>VLOOKUP(B44,'Bảng tổng hợp'!$B$4:$AA$41,23,0)</f>
        <v>1000000</v>
      </c>
      <c r="Q44" s="240">
        <f>VLOOKUP(B44,'Bảng tổng hợp'!$B$4:$AA$41,24,0)</f>
        <v>500000</v>
      </c>
      <c r="R44" s="240">
        <f>VLOOKUP(B44,'Bảng tổng hợp'!$B$4:$AA$41,25,0)</f>
        <v>300000</v>
      </c>
      <c r="S44" s="240">
        <f>VLOOKUP(B44,'Bảng tổng hợp'!$B$4:$AA$41,26,0)</f>
        <v>400000</v>
      </c>
      <c r="T44" s="240">
        <f>IFERROR(VLOOKUP($B44,'Bảng tổng hợp'!$B:$BB,15,0),"")</f>
        <v>0</v>
      </c>
      <c r="U44" s="240">
        <f>IFERROR(VLOOKUP($B44,'Bảng tổng hợp'!$B:$BB,16,0),"")</f>
        <v>0</v>
      </c>
      <c r="V44" s="314">
        <f>VLOOKUP($B44,'Bảng tổng hợp'!$B:$BB,17,0)</f>
        <v>10.690000000000001</v>
      </c>
      <c r="W44" s="240">
        <f>IFERROR(VLOOKUP($B44,'Bảng tổng hợp'!$B:$BB,18,0),"")</f>
        <v>539639</v>
      </c>
      <c r="X44" s="314">
        <f>VLOOKUP($B44,'Bảng tổng hợp'!$B:$BB,19,0)</f>
        <v>0</v>
      </c>
      <c r="Y44" s="240">
        <f>IFERROR(VLOOKUP($B44,'Bảng tổng hợp'!$B:$BB,20,0),"")</f>
        <v>0</v>
      </c>
      <c r="Z44" s="240">
        <f>IFERROR(VLOOKUP($B44,'Bảng tổng hợp'!$B:$BB,27,0),"")</f>
        <v>0</v>
      </c>
      <c r="AA44" s="240">
        <f>IFERROR(VLOOKUP($B44,'Bảng tổng hợp'!$B:$BB,28,0),"")</f>
        <v>9739639</v>
      </c>
      <c r="AB44" s="240">
        <f>IFERROR(VLOOKUP($B44,'Bảng tổng hợp'!$B:$BB,38,0),"")</f>
        <v>1505000</v>
      </c>
      <c r="AC44" s="240">
        <f>IFERROR(VLOOKUP($B44,'Bảng tổng hợp'!$B:$BB,39,0),"")</f>
        <v>140000</v>
      </c>
      <c r="AD44" s="240">
        <f>IFERROR(VLOOKUP($B44,'Bảng tổng hợp'!$B:$BB,43,0),"")</f>
        <v>735000</v>
      </c>
      <c r="AE44" s="240">
        <f>IFERROR(VLOOKUP($B44,'Bảng tổng hợp'!$B:$BB,44,0),"")</f>
        <v>0</v>
      </c>
      <c r="AF44" s="240">
        <f>IFERROR(VLOOKUP($B44,'Bảng tổng hợp'!$B:$BB,52,0),"")</f>
        <v>0</v>
      </c>
      <c r="AG44" s="240">
        <f>IFERROR(VLOOKUP($B44,'Bảng tổng hợp'!$B:$BB,48,0),"")</f>
        <v>15500000</v>
      </c>
      <c r="AH44" s="240">
        <f>IFERROR(VLOOKUP($B44,'Bảng tổng hợp'!$B:$BB,49,0),"")</f>
        <v>7500000</v>
      </c>
      <c r="AI44" s="240">
        <f>IFERROR(VLOOKUP($B44,'Bảng tổng hợp'!$B:$BB,50,0),"")</f>
        <v>0</v>
      </c>
      <c r="AJ44" s="240">
        <f>IFERROR(VLOOKUP($B44,'Bảng tổng hợp'!$B:$BB,51,0),"")</f>
        <v>0</v>
      </c>
      <c r="AK44" s="240">
        <f>IFERROR(VLOOKUP($B44,'Bảng tổng hợp'!$B:$BB,53,0),"")</f>
        <v>9004639</v>
      </c>
    </row>
    <row r="45" spans="1:37" s="241" customFormat="1" ht="39.75" customHeight="1" x14ac:dyDescent="0.25">
      <c r="A45" s="237">
        <v>27</v>
      </c>
      <c r="B45" s="238" t="str">
        <f>+'Bảng tổng hợp'!B28</f>
        <v>NV025</v>
      </c>
      <c r="C45" s="239" t="str">
        <f>IFERROR(VLOOKUP($B45,'Bảng tổng hợp'!$B:$BB,2,0),"")</f>
        <v>Ngô Hồng Thắm</v>
      </c>
      <c r="D45" s="240" t="str">
        <f>IFERROR(VLOOKUP($B45,'Bảng tổng hợp'!$B:$BB,3,0),"")</f>
        <v>HĐLĐ</v>
      </c>
      <c r="E45" s="240" t="str">
        <f>IFERROR(VLOOKUP($B45,'Bảng tổng hợp'!$B:$BB,4,0),"")</f>
        <v>Nhân viên</v>
      </c>
      <c r="F45" s="240" t="str">
        <f>IFERROR(VLOOKUP($B45,'Bảng tổng hợp'!$B:$BB,5,0),"")</f>
        <v>Sản xuất</v>
      </c>
      <c r="G45" s="240">
        <f>IFERROR(VLOOKUP($B45,'Bảng tổng hợp'!$B:$BB,7,0),"")</f>
        <v>6500000</v>
      </c>
      <c r="H45" s="240">
        <f>IFERROR(VLOOKUP($B45,'Bảng tổng hợp'!$B:$BB,8,0),"")</f>
        <v>500000</v>
      </c>
      <c r="I45" s="240">
        <f>IFERROR(VLOOKUP($B45,'Bảng tổng hợp'!$B:$BB,9,0),"")</f>
        <v>1000000</v>
      </c>
      <c r="J45" s="240">
        <f>IFERROR(VLOOKUP($B45,'Bảng tổng hợp'!$B:$BB,10,0),"")</f>
        <v>500000</v>
      </c>
      <c r="K45" s="240">
        <f>IFERROR(VLOOKUP($B45,'Bảng tổng hợp'!$B:$BB,11,0),"")</f>
        <v>300000</v>
      </c>
      <c r="L45" s="240">
        <f>IFERROR(VLOOKUP($B45,'Bảng tổng hợp'!$B:$BB,12,0),"")</f>
        <v>400000</v>
      </c>
      <c r="M45" s="240">
        <f>IFERROR(VLOOKUP($B45,'Bảng tổng hợp'!$B:$BB,13,0),"")</f>
        <v>9200000</v>
      </c>
      <c r="N45" s="240">
        <f>IFERROR(VLOOKUP($B45,'Bảng tổng hợp'!$B:$BB,6,0),"")</f>
        <v>7000000</v>
      </c>
      <c r="O45" s="314">
        <f>VLOOKUP(B45,'Bảng tổng hợp'!$B$4:$O$47,14,0)</f>
        <v>26</v>
      </c>
      <c r="P45" s="240">
        <f>VLOOKUP(B45,'Bảng tổng hợp'!$B$4:$AA$41,23,0)</f>
        <v>1000000</v>
      </c>
      <c r="Q45" s="240">
        <f>VLOOKUP(B45,'Bảng tổng hợp'!$B$4:$AA$41,24,0)</f>
        <v>500000</v>
      </c>
      <c r="R45" s="240">
        <f>VLOOKUP(B45,'Bảng tổng hợp'!$B$4:$AA$41,25,0)</f>
        <v>300000</v>
      </c>
      <c r="S45" s="240">
        <f>VLOOKUP(B45,'Bảng tổng hợp'!$B$4:$AA$41,26,0)</f>
        <v>400000</v>
      </c>
      <c r="T45" s="240">
        <f>IFERROR(VLOOKUP($B45,'Bảng tổng hợp'!$B:$BB,15,0),"")</f>
        <v>0</v>
      </c>
      <c r="U45" s="240">
        <f>IFERROR(VLOOKUP($B45,'Bảng tổng hợp'!$B:$BB,16,0),"")</f>
        <v>0</v>
      </c>
      <c r="V45" s="314">
        <f>VLOOKUP($B45,'Bảng tổng hợp'!$B:$BB,17,0)</f>
        <v>19.649999999999999</v>
      </c>
      <c r="W45" s="240">
        <f>IFERROR(VLOOKUP($B45,'Bảng tổng hợp'!$B:$BB,18,0),"")</f>
        <v>991947</v>
      </c>
      <c r="X45" s="314">
        <f>VLOOKUP($B45,'Bảng tổng hợp'!$B:$BB,19,0)</f>
        <v>0</v>
      </c>
      <c r="Y45" s="240">
        <f>IFERROR(VLOOKUP($B45,'Bảng tổng hợp'!$B:$BB,20,0),"")</f>
        <v>0</v>
      </c>
      <c r="Z45" s="240">
        <f>IFERROR(VLOOKUP($B45,'Bảng tổng hợp'!$B:$BB,27,0),"")</f>
        <v>0</v>
      </c>
      <c r="AA45" s="240">
        <f>IFERROR(VLOOKUP($B45,'Bảng tổng hợp'!$B:$BB,28,0),"")</f>
        <v>10191947</v>
      </c>
      <c r="AB45" s="240">
        <f>IFERROR(VLOOKUP($B45,'Bảng tổng hợp'!$B:$BB,38,0),"")</f>
        <v>1505000</v>
      </c>
      <c r="AC45" s="240">
        <f>IFERROR(VLOOKUP($B45,'Bảng tổng hợp'!$B:$BB,39,0),"")</f>
        <v>140000</v>
      </c>
      <c r="AD45" s="240">
        <f>IFERROR(VLOOKUP($B45,'Bảng tổng hợp'!$B:$BB,43,0),"")</f>
        <v>735000</v>
      </c>
      <c r="AE45" s="240">
        <f>IFERROR(VLOOKUP($B45,'Bảng tổng hợp'!$B:$BB,44,0),"")</f>
        <v>0</v>
      </c>
      <c r="AF45" s="240">
        <f>IFERROR(VLOOKUP($B45,'Bảng tổng hợp'!$B:$BB,52,0),"")</f>
        <v>0</v>
      </c>
      <c r="AG45" s="240">
        <f>IFERROR(VLOOKUP($B45,'Bảng tổng hợp'!$B:$BB,48,0),"")</f>
        <v>15500000</v>
      </c>
      <c r="AH45" s="240">
        <f>IFERROR(VLOOKUP($B45,'Bảng tổng hợp'!$B:$BB,49,0),"")</f>
        <v>7500000</v>
      </c>
      <c r="AI45" s="240">
        <f>IFERROR(VLOOKUP($B45,'Bảng tổng hợp'!$B:$BB,50,0),"")</f>
        <v>0</v>
      </c>
      <c r="AJ45" s="240">
        <f>IFERROR(VLOOKUP($B45,'Bảng tổng hợp'!$B:$BB,51,0),"")</f>
        <v>0</v>
      </c>
      <c r="AK45" s="240">
        <f>IFERROR(VLOOKUP($B45,'Bảng tổng hợp'!$B:$BB,53,0),"")</f>
        <v>9456947</v>
      </c>
    </row>
    <row r="46" spans="1:37" s="241" customFormat="1" ht="39.75" customHeight="1" x14ac:dyDescent="0.25">
      <c r="A46" s="237">
        <v>28</v>
      </c>
      <c r="B46" s="238" t="str">
        <f>+'Bảng tổng hợp'!B29</f>
        <v>NV026</v>
      </c>
      <c r="C46" s="239" t="str">
        <f>IFERROR(VLOOKUP($B46,'Bảng tổng hợp'!$B:$BB,2,0),"")</f>
        <v>Trần Thị Tú Anh</v>
      </c>
      <c r="D46" s="240" t="str">
        <f>IFERROR(VLOOKUP($B46,'Bảng tổng hợp'!$B:$BB,3,0),"")</f>
        <v>HĐLĐ</v>
      </c>
      <c r="E46" s="240" t="str">
        <f>IFERROR(VLOOKUP($B46,'Bảng tổng hợp'!$B:$BB,4,0),"")</f>
        <v>Nhân viên</v>
      </c>
      <c r="F46" s="240" t="str">
        <f>IFERROR(VLOOKUP($B46,'Bảng tổng hợp'!$B:$BB,5,0),"")</f>
        <v>Sản xuất</v>
      </c>
      <c r="G46" s="240">
        <f>IFERROR(VLOOKUP($B46,'Bảng tổng hợp'!$B:$BB,7,0),"")</f>
        <v>6500000</v>
      </c>
      <c r="H46" s="240">
        <f>IFERROR(VLOOKUP($B46,'Bảng tổng hợp'!$B:$BB,8,0),"")</f>
        <v>500000</v>
      </c>
      <c r="I46" s="240">
        <f>IFERROR(VLOOKUP($B46,'Bảng tổng hợp'!$B:$BB,9,0),"")</f>
        <v>1000000</v>
      </c>
      <c r="J46" s="240">
        <f>IFERROR(VLOOKUP($B46,'Bảng tổng hợp'!$B:$BB,10,0),"")</f>
        <v>500000</v>
      </c>
      <c r="K46" s="240">
        <f>IFERROR(VLOOKUP($B46,'Bảng tổng hợp'!$B:$BB,11,0),"")</f>
        <v>300000</v>
      </c>
      <c r="L46" s="240">
        <f>IFERROR(VLOOKUP($B46,'Bảng tổng hợp'!$B:$BB,12,0),"")</f>
        <v>400000</v>
      </c>
      <c r="M46" s="240">
        <f>IFERROR(VLOOKUP($B46,'Bảng tổng hợp'!$B:$BB,13,0),"")</f>
        <v>9200000</v>
      </c>
      <c r="N46" s="240">
        <f>IFERROR(VLOOKUP($B46,'Bảng tổng hợp'!$B:$BB,6,0),"")</f>
        <v>7000000</v>
      </c>
      <c r="O46" s="314">
        <f>VLOOKUP(B46,'Bảng tổng hợp'!$B$4:$O$47,14,0)</f>
        <v>23</v>
      </c>
      <c r="P46" s="240">
        <f>VLOOKUP(B46,'Bảng tổng hợp'!$B$4:$AA$41,23,0)</f>
        <v>884615.38461538462</v>
      </c>
      <c r="Q46" s="240">
        <f>VLOOKUP(B46,'Bảng tổng hợp'!$B$4:$AA$41,24,0)</f>
        <v>442307.69230769231</v>
      </c>
      <c r="R46" s="240">
        <f>VLOOKUP(B46,'Bảng tổng hợp'!$B$4:$AA$41,25,0)</f>
        <v>265384.61538461538</v>
      </c>
      <c r="S46" s="240">
        <f>VLOOKUP(B46,'Bảng tổng hợp'!$B$4:$AA$41,26,0)</f>
        <v>400000</v>
      </c>
      <c r="T46" s="240">
        <f>IFERROR(VLOOKUP($B46,'Bảng tổng hợp'!$B:$BB,15,0),"")</f>
        <v>3</v>
      </c>
      <c r="U46" s="240">
        <f>IFERROR(VLOOKUP($B46,'Bảng tổng hợp'!$B:$BB,16,0),"")</f>
        <v>807692.30769230775</v>
      </c>
      <c r="V46" s="314">
        <f>VLOOKUP($B46,'Bảng tổng hợp'!$B:$BB,17,0)</f>
        <v>36.620000000000005</v>
      </c>
      <c r="W46" s="240">
        <f>IFERROR(VLOOKUP($B46,'Bảng tổng hợp'!$B:$BB,18,0),"")</f>
        <v>1848606</v>
      </c>
      <c r="X46" s="314">
        <f>VLOOKUP($B46,'Bảng tổng hợp'!$B:$BB,19,0)</f>
        <v>0</v>
      </c>
      <c r="Y46" s="240">
        <f>IFERROR(VLOOKUP($B46,'Bảng tổng hợp'!$B:$BB,20,0),"")</f>
        <v>0</v>
      </c>
      <c r="Z46" s="240">
        <f>IFERROR(VLOOKUP($B46,'Bảng tổng hợp'!$B:$BB,27,0),"")</f>
        <v>0</v>
      </c>
      <c r="AA46" s="240">
        <f>IFERROR(VLOOKUP($B46,'Bảng tổng hợp'!$B:$BB,28,0),"")</f>
        <v>10840913.692307692</v>
      </c>
      <c r="AB46" s="240">
        <f>IFERROR(VLOOKUP($B46,'Bảng tổng hợp'!$B:$BB,38,0),"")</f>
        <v>1505000</v>
      </c>
      <c r="AC46" s="240">
        <f>IFERROR(VLOOKUP($B46,'Bảng tổng hợp'!$B:$BB,39,0),"")</f>
        <v>140000</v>
      </c>
      <c r="AD46" s="240">
        <f>IFERROR(VLOOKUP($B46,'Bảng tổng hợp'!$B:$BB,43,0),"")</f>
        <v>735000</v>
      </c>
      <c r="AE46" s="240">
        <f>IFERROR(VLOOKUP($B46,'Bảng tổng hợp'!$B:$BB,44,0),"")</f>
        <v>0</v>
      </c>
      <c r="AF46" s="240">
        <f>IFERROR(VLOOKUP($B46,'Bảng tổng hợp'!$B:$BB,52,0),"")</f>
        <v>0</v>
      </c>
      <c r="AG46" s="240">
        <f>IFERROR(VLOOKUP($B46,'Bảng tổng hợp'!$B:$BB,48,0),"")</f>
        <v>15500000</v>
      </c>
      <c r="AH46" s="240">
        <f>IFERROR(VLOOKUP($B46,'Bảng tổng hợp'!$B:$BB,49,0),"")</f>
        <v>7442308</v>
      </c>
      <c r="AI46" s="240">
        <f>IFERROR(VLOOKUP($B46,'Bảng tổng hợp'!$B:$BB,50,0),"")</f>
        <v>0</v>
      </c>
      <c r="AJ46" s="240">
        <f>IFERROR(VLOOKUP($B46,'Bảng tổng hợp'!$B:$BB,51,0),"")</f>
        <v>0</v>
      </c>
      <c r="AK46" s="240">
        <f>IFERROR(VLOOKUP($B46,'Bảng tổng hợp'!$B:$BB,53,0),"")</f>
        <v>10105914</v>
      </c>
    </row>
    <row r="47" spans="1:37" s="241" customFormat="1" ht="39.75" customHeight="1" x14ac:dyDescent="0.25">
      <c r="A47" s="237">
        <v>29</v>
      </c>
      <c r="B47" s="238" t="str">
        <f>+'Bảng tổng hợp'!B30</f>
        <v>NV032</v>
      </c>
      <c r="C47" s="239" t="str">
        <f>IFERROR(VLOOKUP($B47,'Bảng tổng hợp'!$B:$BB,2,0),"")</f>
        <v>Trần Ái Nhi</v>
      </c>
      <c r="D47" s="240" t="str">
        <f>IFERROR(VLOOKUP($B47,'Bảng tổng hợp'!$B:$BB,3,0),"")</f>
        <v>HĐLĐ</v>
      </c>
      <c r="E47" s="240" t="str">
        <f>IFERROR(VLOOKUP($B47,'Bảng tổng hợp'!$B:$BB,4,0),"")</f>
        <v>Nhân viên</v>
      </c>
      <c r="F47" s="240" t="str">
        <f>IFERROR(VLOOKUP($B47,'Bảng tổng hợp'!$B:$BB,5,0),"")</f>
        <v>Sản xuất</v>
      </c>
      <c r="G47" s="240">
        <f>IFERROR(VLOOKUP($B47,'Bảng tổng hợp'!$B:$BB,7,0),"")</f>
        <v>6500000</v>
      </c>
      <c r="H47" s="240">
        <f>IFERROR(VLOOKUP($B47,'Bảng tổng hợp'!$B:$BB,8,0),"")</f>
        <v>500000</v>
      </c>
      <c r="I47" s="240">
        <f>IFERROR(VLOOKUP($B47,'Bảng tổng hợp'!$B:$BB,9,0),"")</f>
        <v>1000000</v>
      </c>
      <c r="J47" s="240">
        <f>IFERROR(VLOOKUP($B47,'Bảng tổng hợp'!$B:$BB,10,0),"")</f>
        <v>500000</v>
      </c>
      <c r="K47" s="240">
        <f>IFERROR(VLOOKUP($B47,'Bảng tổng hợp'!$B:$BB,11,0),"")</f>
        <v>300000</v>
      </c>
      <c r="L47" s="240">
        <f>IFERROR(VLOOKUP($B47,'Bảng tổng hợp'!$B:$BB,12,0),"")</f>
        <v>400000</v>
      </c>
      <c r="M47" s="240">
        <f>IFERROR(VLOOKUP($B47,'Bảng tổng hợp'!$B:$BB,13,0),"")</f>
        <v>9200000</v>
      </c>
      <c r="N47" s="240">
        <f>IFERROR(VLOOKUP($B47,'Bảng tổng hợp'!$B:$BB,6,0),"")</f>
        <v>7000000</v>
      </c>
      <c r="O47" s="314">
        <f>VLOOKUP(B47,'Bảng tổng hợp'!$B$4:$O$47,14,0)</f>
        <v>24</v>
      </c>
      <c r="P47" s="240">
        <f>VLOOKUP(B47,'Bảng tổng hợp'!$B$4:$AA$41,23,0)</f>
        <v>923076.92307692301</v>
      </c>
      <c r="Q47" s="240">
        <f>VLOOKUP(B47,'Bảng tổng hợp'!$B$4:$AA$41,24,0)</f>
        <v>461538.4615384615</v>
      </c>
      <c r="R47" s="240">
        <f>VLOOKUP(B47,'Bảng tổng hợp'!$B$4:$AA$41,25,0)</f>
        <v>276923.07692307694</v>
      </c>
      <c r="S47" s="240">
        <f>VLOOKUP(B47,'Bảng tổng hợp'!$B$4:$AA$41,26,0)</f>
        <v>400000</v>
      </c>
      <c r="T47" s="240">
        <f>IFERROR(VLOOKUP($B47,'Bảng tổng hợp'!$B:$BB,15,0),"")</f>
        <v>2</v>
      </c>
      <c r="U47" s="240">
        <f>IFERROR(VLOOKUP($B47,'Bảng tổng hợp'!$B:$BB,16,0),"")</f>
        <v>538461.5384615385</v>
      </c>
      <c r="V47" s="314">
        <f>VLOOKUP($B47,'Bảng tổng hợp'!$B:$BB,17,0)</f>
        <v>38.599999999999994</v>
      </c>
      <c r="W47" s="240">
        <f>IFERROR(VLOOKUP($B47,'Bảng tổng hợp'!$B:$BB,18,0),"")</f>
        <v>1948558</v>
      </c>
      <c r="X47" s="314">
        <f>VLOOKUP($B47,'Bảng tổng hợp'!$B:$BB,19,0)</f>
        <v>0</v>
      </c>
      <c r="Y47" s="240">
        <f>IFERROR(VLOOKUP($B47,'Bảng tổng hợp'!$B:$BB,20,0),"")</f>
        <v>0</v>
      </c>
      <c r="Z47" s="240">
        <f>IFERROR(VLOOKUP($B47,'Bảng tổng hợp'!$B:$BB,27,0),"")</f>
        <v>0</v>
      </c>
      <c r="AA47" s="240">
        <f>IFERROR(VLOOKUP($B47,'Bảng tổng hợp'!$B:$BB,28,0),"")</f>
        <v>11010096.461538462</v>
      </c>
      <c r="AB47" s="240">
        <f>IFERROR(VLOOKUP($B47,'Bảng tổng hợp'!$B:$BB,38,0),"")</f>
        <v>1505000</v>
      </c>
      <c r="AC47" s="240">
        <f>IFERROR(VLOOKUP($B47,'Bảng tổng hợp'!$B:$BB,39,0),"")</f>
        <v>140000</v>
      </c>
      <c r="AD47" s="240">
        <f>IFERROR(VLOOKUP($B47,'Bảng tổng hợp'!$B:$BB,43,0),"")</f>
        <v>735000</v>
      </c>
      <c r="AE47" s="240">
        <f>IFERROR(VLOOKUP($B47,'Bảng tổng hợp'!$B:$BB,44,0),"")</f>
        <v>0</v>
      </c>
      <c r="AF47" s="240">
        <f>IFERROR(VLOOKUP($B47,'Bảng tổng hợp'!$B:$BB,52,0),"")</f>
        <v>0</v>
      </c>
      <c r="AG47" s="240">
        <f>IFERROR(VLOOKUP($B47,'Bảng tổng hợp'!$B:$BB,48,0),"")</f>
        <v>15500000</v>
      </c>
      <c r="AH47" s="240">
        <f>IFERROR(VLOOKUP($B47,'Bảng tổng hợp'!$B:$BB,49,0),"")</f>
        <v>7461538</v>
      </c>
      <c r="AI47" s="240">
        <f>IFERROR(VLOOKUP($B47,'Bảng tổng hợp'!$B:$BB,50,0),"")</f>
        <v>0</v>
      </c>
      <c r="AJ47" s="240">
        <f>IFERROR(VLOOKUP($B47,'Bảng tổng hợp'!$B:$BB,51,0),"")</f>
        <v>0</v>
      </c>
      <c r="AK47" s="240">
        <f>IFERROR(VLOOKUP($B47,'Bảng tổng hợp'!$B:$BB,53,0),"")</f>
        <v>10275096</v>
      </c>
    </row>
    <row r="48" spans="1:37" s="241" customFormat="1" ht="39.75" customHeight="1" x14ac:dyDescent="0.25">
      <c r="A48" s="237">
        <v>30</v>
      </c>
      <c r="B48" s="238" t="str">
        <f>+'Bảng tổng hợp'!B31</f>
        <v>NV033</v>
      </c>
      <c r="C48" s="239" t="str">
        <f>IFERROR(VLOOKUP($B48,'Bảng tổng hợp'!$B:$BB,2,0),"")</f>
        <v>Vũ Thị Loan</v>
      </c>
      <c r="D48" s="240" t="str">
        <f>IFERROR(VLOOKUP($B48,'Bảng tổng hợp'!$B:$BB,3,0),"")</f>
        <v>HĐLĐ</v>
      </c>
      <c r="E48" s="240" t="str">
        <f>IFERROR(VLOOKUP($B48,'Bảng tổng hợp'!$B:$BB,4,0),"")</f>
        <v>Nhân viên</v>
      </c>
      <c r="F48" s="240" t="str">
        <f>IFERROR(VLOOKUP($B48,'Bảng tổng hợp'!$B:$BB,5,0),"")</f>
        <v>Sản xuất</v>
      </c>
      <c r="G48" s="240">
        <f>IFERROR(VLOOKUP($B48,'Bảng tổng hợp'!$B:$BB,7,0),"")</f>
        <v>6500000</v>
      </c>
      <c r="H48" s="240">
        <f>IFERROR(VLOOKUP($B48,'Bảng tổng hợp'!$B:$BB,8,0),"")</f>
        <v>500000</v>
      </c>
      <c r="I48" s="240">
        <f>IFERROR(VLOOKUP($B48,'Bảng tổng hợp'!$B:$BB,9,0),"")</f>
        <v>1000000</v>
      </c>
      <c r="J48" s="240">
        <f>IFERROR(VLOOKUP($B48,'Bảng tổng hợp'!$B:$BB,10,0),"")</f>
        <v>500000</v>
      </c>
      <c r="K48" s="240">
        <f>IFERROR(VLOOKUP($B48,'Bảng tổng hợp'!$B:$BB,11,0),"")</f>
        <v>300000</v>
      </c>
      <c r="L48" s="240">
        <f>IFERROR(VLOOKUP($B48,'Bảng tổng hợp'!$B:$BB,12,0),"")</f>
        <v>400000</v>
      </c>
      <c r="M48" s="240">
        <f>IFERROR(VLOOKUP($B48,'Bảng tổng hợp'!$B:$BB,13,0),"")</f>
        <v>9200000</v>
      </c>
      <c r="N48" s="240">
        <f>IFERROR(VLOOKUP($B48,'Bảng tổng hợp'!$B:$BB,6,0),"")</f>
        <v>7000000</v>
      </c>
      <c r="O48" s="314">
        <f>VLOOKUP(B48,'Bảng tổng hợp'!$B$4:$O$47,14,0)</f>
        <v>26</v>
      </c>
      <c r="P48" s="240">
        <f>VLOOKUP(B48,'Bảng tổng hợp'!$B$4:$AA$41,23,0)</f>
        <v>1000000</v>
      </c>
      <c r="Q48" s="240">
        <f>VLOOKUP(B48,'Bảng tổng hợp'!$B$4:$AA$41,24,0)</f>
        <v>500000</v>
      </c>
      <c r="R48" s="240">
        <f>VLOOKUP(B48,'Bảng tổng hợp'!$B$4:$AA$41,25,0)</f>
        <v>300000</v>
      </c>
      <c r="S48" s="240">
        <f>VLOOKUP(B48,'Bảng tổng hợp'!$B$4:$AA$41,26,0)</f>
        <v>400000</v>
      </c>
      <c r="T48" s="240">
        <f>IFERROR(VLOOKUP($B48,'Bảng tổng hợp'!$B:$BB,15,0),"")</f>
        <v>0</v>
      </c>
      <c r="U48" s="240">
        <f>IFERROR(VLOOKUP($B48,'Bảng tổng hợp'!$B:$BB,16,0),"")</f>
        <v>0</v>
      </c>
      <c r="V48" s="314">
        <f>VLOOKUP($B48,'Bảng tổng hợp'!$B:$BB,17,0)</f>
        <v>15.38</v>
      </c>
      <c r="W48" s="240">
        <f>IFERROR(VLOOKUP($B48,'Bảng tổng hợp'!$B:$BB,18,0),"")</f>
        <v>776394</v>
      </c>
      <c r="X48" s="314">
        <f>VLOOKUP($B48,'Bảng tổng hợp'!$B:$BB,19,0)</f>
        <v>0</v>
      </c>
      <c r="Y48" s="240">
        <f>IFERROR(VLOOKUP($B48,'Bảng tổng hợp'!$B:$BB,20,0),"")</f>
        <v>0</v>
      </c>
      <c r="Z48" s="240">
        <f>IFERROR(VLOOKUP($B48,'Bảng tổng hợp'!$B:$BB,27,0),"")</f>
        <v>300000</v>
      </c>
      <c r="AA48" s="240">
        <f>IFERROR(VLOOKUP($B48,'Bảng tổng hợp'!$B:$BB,28,0),"")</f>
        <v>10276394</v>
      </c>
      <c r="AB48" s="240">
        <f>IFERROR(VLOOKUP($B48,'Bảng tổng hợp'!$B:$BB,38,0),"")</f>
        <v>1505000</v>
      </c>
      <c r="AC48" s="240">
        <f>IFERROR(VLOOKUP($B48,'Bảng tổng hợp'!$B:$BB,39,0),"")</f>
        <v>140000</v>
      </c>
      <c r="AD48" s="240">
        <f>IFERROR(VLOOKUP($B48,'Bảng tổng hợp'!$B:$BB,43,0),"")</f>
        <v>735000</v>
      </c>
      <c r="AE48" s="240">
        <f>IFERROR(VLOOKUP($B48,'Bảng tổng hợp'!$B:$BB,44,0),"")</f>
        <v>0</v>
      </c>
      <c r="AF48" s="240">
        <f>IFERROR(VLOOKUP($B48,'Bảng tổng hợp'!$B:$BB,52,0),"")</f>
        <v>0</v>
      </c>
      <c r="AG48" s="240">
        <f>IFERROR(VLOOKUP($B48,'Bảng tổng hợp'!$B:$BB,48,0),"")</f>
        <v>15500000</v>
      </c>
      <c r="AH48" s="240">
        <f>IFERROR(VLOOKUP($B48,'Bảng tổng hợp'!$B:$BB,49,0),"")</f>
        <v>7800000</v>
      </c>
      <c r="AI48" s="240">
        <f>IFERROR(VLOOKUP($B48,'Bảng tổng hợp'!$B:$BB,50,0),"")</f>
        <v>0</v>
      </c>
      <c r="AJ48" s="240">
        <f>IFERROR(VLOOKUP($B48,'Bảng tổng hợp'!$B:$BB,51,0),"")</f>
        <v>0</v>
      </c>
      <c r="AK48" s="240">
        <f>IFERROR(VLOOKUP($B48,'Bảng tổng hợp'!$B:$BB,53,0),"")</f>
        <v>9541394</v>
      </c>
    </row>
    <row r="49" spans="1:37" s="241" customFormat="1" ht="39.75" customHeight="1" x14ac:dyDescent="0.25">
      <c r="A49" s="237">
        <v>31</v>
      </c>
      <c r="B49" s="238" t="str">
        <f>+'Bảng tổng hợp'!B32</f>
        <v>NV034</v>
      </c>
      <c r="C49" s="239" t="str">
        <f>IFERROR(VLOOKUP($B49,'Bảng tổng hợp'!$B:$BB,2,0),"")</f>
        <v>Lê Các Anh</v>
      </c>
      <c r="D49" s="240" t="str">
        <f>IFERROR(VLOOKUP($B49,'Bảng tổng hợp'!$B:$BB,3,0),"")</f>
        <v>HĐLĐ</v>
      </c>
      <c r="E49" s="240" t="str">
        <f>IFERROR(VLOOKUP($B49,'Bảng tổng hợp'!$B:$BB,4,0),"")</f>
        <v>Nhân viên</v>
      </c>
      <c r="F49" s="240" t="str">
        <f>IFERROR(VLOOKUP($B49,'Bảng tổng hợp'!$B:$BB,5,0),"")</f>
        <v>Sản xuất</v>
      </c>
      <c r="G49" s="240">
        <f>IFERROR(VLOOKUP($B49,'Bảng tổng hợp'!$B:$BB,7,0),"")</f>
        <v>6000000</v>
      </c>
      <c r="H49" s="240">
        <f>IFERROR(VLOOKUP($B49,'Bảng tổng hợp'!$B:$BB,8,0),"")</f>
        <v>500000</v>
      </c>
      <c r="I49" s="240">
        <f>IFERROR(VLOOKUP($B49,'Bảng tổng hợp'!$B:$BB,9,0),"")</f>
        <v>1000000</v>
      </c>
      <c r="J49" s="240">
        <f>IFERROR(VLOOKUP($B49,'Bảng tổng hợp'!$B:$BB,10,0),"")</f>
        <v>500000</v>
      </c>
      <c r="K49" s="240">
        <f>IFERROR(VLOOKUP($B49,'Bảng tổng hợp'!$B:$BB,11,0),"")</f>
        <v>300000</v>
      </c>
      <c r="L49" s="240">
        <f>IFERROR(VLOOKUP($B49,'Bảng tổng hợp'!$B:$BB,12,0),"")</f>
        <v>400000</v>
      </c>
      <c r="M49" s="240">
        <f>IFERROR(VLOOKUP($B49,'Bảng tổng hợp'!$B:$BB,13,0),"")</f>
        <v>8700000</v>
      </c>
      <c r="N49" s="240">
        <f>IFERROR(VLOOKUP($B49,'Bảng tổng hợp'!$B:$BB,6,0),"")</f>
        <v>6500000</v>
      </c>
      <c r="O49" s="314">
        <f>VLOOKUP(B49,'Bảng tổng hợp'!$B$4:$O$47,14,0)</f>
        <v>21.5</v>
      </c>
      <c r="P49" s="240">
        <f>VLOOKUP(B49,'Bảng tổng hợp'!$B$4:$AA$41,23,0)</f>
        <v>826923.07692307688</v>
      </c>
      <c r="Q49" s="240">
        <f>VLOOKUP(B49,'Bảng tổng hợp'!$B$4:$AA$41,24,0)</f>
        <v>413461.53846153844</v>
      </c>
      <c r="R49" s="240">
        <f>VLOOKUP(B49,'Bảng tổng hợp'!$B$4:$AA$41,25,0)</f>
        <v>248076.92307692309</v>
      </c>
      <c r="S49" s="240">
        <f>VLOOKUP(B49,'Bảng tổng hợp'!$B$4:$AA$41,26,0)</f>
        <v>400000</v>
      </c>
      <c r="T49" s="240">
        <f>IFERROR(VLOOKUP($B49,'Bảng tổng hợp'!$B:$BB,15,0),"")</f>
        <v>0</v>
      </c>
      <c r="U49" s="240">
        <f>IFERROR(VLOOKUP($B49,'Bảng tổng hợp'!$B:$BB,16,0),"")</f>
        <v>0</v>
      </c>
      <c r="V49" s="314">
        <f>VLOOKUP($B49,'Bảng tổng hợp'!$B:$BB,17,0)</f>
        <v>11.655000000000001</v>
      </c>
      <c r="W49" s="240">
        <f>IFERROR(VLOOKUP($B49,'Bảng tổng hợp'!$B:$BB,18,0),"")</f>
        <v>546328</v>
      </c>
      <c r="X49" s="314">
        <f>VLOOKUP($B49,'Bảng tổng hợp'!$B:$BB,19,0)</f>
        <v>0</v>
      </c>
      <c r="Y49" s="240">
        <f>IFERROR(VLOOKUP($B49,'Bảng tổng hợp'!$B:$BB,20,0),"")</f>
        <v>0</v>
      </c>
      <c r="Z49" s="240">
        <f>IFERROR(VLOOKUP($B49,'Bảng tổng hợp'!$B:$BB,27,0),"")</f>
        <v>0</v>
      </c>
      <c r="AA49" s="240">
        <f>IFERROR(VLOOKUP($B49,'Bảng tổng hợp'!$B:$BB,28,0),"")</f>
        <v>7809789.538461538</v>
      </c>
      <c r="AB49" s="240">
        <f>IFERROR(VLOOKUP($B49,'Bảng tổng hợp'!$B:$BB,38,0),"")</f>
        <v>1397500</v>
      </c>
      <c r="AC49" s="240">
        <f>IFERROR(VLOOKUP($B49,'Bảng tổng hợp'!$B:$BB,39,0),"")</f>
        <v>130000</v>
      </c>
      <c r="AD49" s="240">
        <f>IFERROR(VLOOKUP($B49,'Bảng tổng hợp'!$B:$BB,43,0),"")</f>
        <v>682500</v>
      </c>
      <c r="AE49" s="240">
        <f>IFERROR(VLOOKUP($B49,'Bảng tổng hợp'!$B:$BB,44,0),"")</f>
        <v>0</v>
      </c>
      <c r="AF49" s="240">
        <f>IFERROR(VLOOKUP($B49,'Bảng tổng hợp'!$B:$BB,52,0),"")</f>
        <v>0</v>
      </c>
      <c r="AG49" s="240">
        <f>IFERROR(VLOOKUP($B49,'Bảng tổng hợp'!$B:$BB,48,0),"")</f>
        <v>15500000</v>
      </c>
      <c r="AH49" s="240">
        <f>IFERROR(VLOOKUP($B49,'Bảng tổng hợp'!$B:$BB,49,0),"")</f>
        <v>5788462</v>
      </c>
      <c r="AI49" s="240">
        <f>IFERROR(VLOOKUP($B49,'Bảng tổng hợp'!$B:$BB,50,0),"")</f>
        <v>0</v>
      </c>
      <c r="AJ49" s="240">
        <f>IFERROR(VLOOKUP($B49,'Bảng tổng hợp'!$B:$BB,51,0),"")</f>
        <v>0</v>
      </c>
      <c r="AK49" s="240">
        <f>IFERROR(VLOOKUP($B49,'Bảng tổng hợp'!$B:$BB,53,0),"")</f>
        <v>7127290</v>
      </c>
    </row>
    <row r="50" spans="1:37" s="241" customFormat="1" ht="39.75" customHeight="1" x14ac:dyDescent="0.25">
      <c r="A50" s="237">
        <v>32</v>
      </c>
      <c r="B50" s="238" t="str">
        <f>+'Bảng tổng hợp'!B33</f>
        <v>NV035</v>
      </c>
      <c r="C50" s="239" t="str">
        <f>IFERROR(VLOOKUP($B50,'Bảng tổng hợp'!$B:$BB,2,0),"")</f>
        <v>Nguyễn Ngọc Bích</v>
      </c>
      <c r="D50" s="240" t="str">
        <f>IFERROR(VLOOKUP($B50,'Bảng tổng hợp'!$B:$BB,3,0),"")</f>
        <v>HĐLĐ</v>
      </c>
      <c r="E50" s="240" t="str">
        <f>IFERROR(VLOOKUP($B50,'Bảng tổng hợp'!$B:$BB,4,0),"")</f>
        <v>Nhân viên</v>
      </c>
      <c r="F50" s="240" t="str">
        <f>IFERROR(VLOOKUP($B50,'Bảng tổng hợp'!$B:$BB,5,0),"")</f>
        <v>Sản xuất</v>
      </c>
      <c r="G50" s="240">
        <f>IFERROR(VLOOKUP($B50,'Bảng tổng hợp'!$B:$BB,7,0),"")</f>
        <v>6000000</v>
      </c>
      <c r="H50" s="240">
        <f>IFERROR(VLOOKUP($B50,'Bảng tổng hợp'!$B:$BB,8,0),"")</f>
        <v>500000</v>
      </c>
      <c r="I50" s="240">
        <f>IFERROR(VLOOKUP($B50,'Bảng tổng hợp'!$B:$BB,9,0),"")</f>
        <v>1000000</v>
      </c>
      <c r="J50" s="240">
        <f>IFERROR(VLOOKUP($B50,'Bảng tổng hợp'!$B:$BB,10,0),"")</f>
        <v>500000</v>
      </c>
      <c r="K50" s="240">
        <f>IFERROR(VLOOKUP($B50,'Bảng tổng hợp'!$B:$BB,11,0),"")</f>
        <v>300000</v>
      </c>
      <c r="L50" s="240">
        <f>IFERROR(VLOOKUP($B50,'Bảng tổng hợp'!$B:$BB,12,0),"")</f>
        <v>400000</v>
      </c>
      <c r="M50" s="240">
        <f>IFERROR(VLOOKUP($B50,'Bảng tổng hợp'!$B:$BB,13,0),"")</f>
        <v>8700000</v>
      </c>
      <c r="N50" s="240">
        <f>IFERROR(VLOOKUP($B50,'Bảng tổng hợp'!$B:$BB,6,0),"")</f>
        <v>6500000</v>
      </c>
      <c r="O50" s="314">
        <f>VLOOKUP(B50,'Bảng tổng hợp'!$B$4:$O$47,14,0)</f>
        <v>26</v>
      </c>
      <c r="P50" s="240">
        <f>VLOOKUP(B50,'Bảng tổng hợp'!$B$4:$AA$41,23,0)</f>
        <v>1000000</v>
      </c>
      <c r="Q50" s="240">
        <f>VLOOKUP(B50,'Bảng tổng hợp'!$B$4:$AA$41,24,0)</f>
        <v>500000</v>
      </c>
      <c r="R50" s="240">
        <f>VLOOKUP(B50,'Bảng tổng hợp'!$B$4:$AA$41,25,0)</f>
        <v>300000</v>
      </c>
      <c r="S50" s="240">
        <f>VLOOKUP(B50,'Bảng tổng hợp'!$B$4:$AA$41,26,0)</f>
        <v>400000</v>
      </c>
      <c r="T50" s="240">
        <f>IFERROR(VLOOKUP($B50,'Bảng tổng hợp'!$B:$BB,15,0),"")</f>
        <v>0</v>
      </c>
      <c r="U50" s="240">
        <f>IFERROR(VLOOKUP($B50,'Bảng tổng hợp'!$B:$BB,16,0),"")</f>
        <v>0</v>
      </c>
      <c r="V50" s="314">
        <f>VLOOKUP($B50,'Bảng tổng hợp'!$B:$BB,17,0)</f>
        <v>7.83</v>
      </c>
      <c r="W50" s="240">
        <f>IFERROR(VLOOKUP($B50,'Bảng tổng hợp'!$B:$BB,18,0),"")</f>
        <v>367031</v>
      </c>
      <c r="X50" s="314">
        <f>VLOOKUP($B50,'Bảng tổng hợp'!$B:$BB,19,0)</f>
        <v>0</v>
      </c>
      <c r="Y50" s="240">
        <f>IFERROR(VLOOKUP($B50,'Bảng tổng hợp'!$B:$BB,20,0),"")</f>
        <v>0</v>
      </c>
      <c r="Z50" s="240">
        <f>IFERROR(VLOOKUP($B50,'Bảng tổng hợp'!$B:$BB,27,0),"")</f>
        <v>0</v>
      </c>
      <c r="AA50" s="240">
        <f>IFERROR(VLOOKUP($B50,'Bảng tổng hợp'!$B:$BB,28,0),"")</f>
        <v>9067031</v>
      </c>
      <c r="AB50" s="240">
        <f>IFERROR(VLOOKUP($B50,'Bảng tổng hợp'!$B:$BB,38,0),"")</f>
        <v>1397500</v>
      </c>
      <c r="AC50" s="240">
        <f>IFERROR(VLOOKUP($B50,'Bảng tổng hợp'!$B:$BB,39,0),"")</f>
        <v>130000</v>
      </c>
      <c r="AD50" s="240">
        <f>IFERROR(VLOOKUP($B50,'Bảng tổng hợp'!$B:$BB,43,0),"")</f>
        <v>682500</v>
      </c>
      <c r="AE50" s="240">
        <f>IFERROR(VLOOKUP($B50,'Bảng tổng hợp'!$B:$BB,44,0),"")</f>
        <v>0</v>
      </c>
      <c r="AF50" s="240">
        <f>IFERROR(VLOOKUP($B50,'Bảng tổng hợp'!$B:$BB,52,0),"")</f>
        <v>0</v>
      </c>
      <c r="AG50" s="240">
        <f>IFERROR(VLOOKUP($B50,'Bảng tổng hợp'!$B:$BB,48,0),"")</f>
        <v>15500000</v>
      </c>
      <c r="AH50" s="240">
        <f>IFERROR(VLOOKUP($B50,'Bảng tổng hợp'!$B:$BB,49,0),"")</f>
        <v>7000000</v>
      </c>
      <c r="AI50" s="240">
        <f>IFERROR(VLOOKUP($B50,'Bảng tổng hợp'!$B:$BB,50,0),"")</f>
        <v>0</v>
      </c>
      <c r="AJ50" s="240">
        <f>IFERROR(VLOOKUP($B50,'Bảng tổng hợp'!$B:$BB,51,0),"")</f>
        <v>0</v>
      </c>
      <c r="AK50" s="240">
        <f>IFERROR(VLOOKUP($B50,'Bảng tổng hợp'!$B:$BB,53,0),"")</f>
        <v>8384531</v>
      </c>
    </row>
    <row r="51" spans="1:37" s="241" customFormat="1" ht="39.75" customHeight="1" x14ac:dyDescent="0.25">
      <c r="A51" s="237">
        <v>33</v>
      </c>
      <c r="B51" s="238" t="str">
        <f>'Bảng tổng hợp'!B39</f>
        <v>NV040</v>
      </c>
      <c r="C51" s="239" t="str">
        <f>IFERROR(VLOOKUP($B51,'Bảng tổng hợp'!$B:$BB,2,0),"")</f>
        <v>Trần Thị Ngọc Hân</v>
      </c>
      <c r="D51" s="240" t="str">
        <f>IFERROR(VLOOKUP($B51,'Bảng tổng hợp'!$B:$BB,3,0),"")</f>
        <v>HĐLĐ</v>
      </c>
      <c r="E51" s="240" t="str">
        <f>IFERROR(VLOOKUP($B51,'Bảng tổng hợp'!$B:$BB,4,0),"")</f>
        <v>Nhân viên</v>
      </c>
      <c r="F51" s="240" t="str">
        <f>IFERROR(VLOOKUP($B51,'Bảng tổng hợp'!$B:$BB,5,0),"")</f>
        <v>Sản xuất</v>
      </c>
      <c r="G51" s="240">
        <f>IFERROR(VLOOKUP($B51,'Bảng tổng hợp'!$B:$BB,7,0),"")</f>
        <v>6000000</v>
      </c>
      <c r="H51" s="240">
        <f>IFERROR(VLOOKUP($B51,'Bảng tổng hợp'!$B:$BB,8,0),"")</f>
        <v>500000</v>
      </c>
      <c r="I51" s="240">
        <f>IFERROR(VLOOKUP($B51,'Bảng tổng hợp'!$B:$BB,9,0),"")</f>
        <v>1000000</v>
      </c>
      <c r="J51" s="240">
        <f>IFERROR(VLOOKUP($B51,'Bảng tổng hợp'!$B:$BB,10,0),"")</f>
        <v>500000</v>
      </c>
      <c r="K51" s="240">
        <f>IFERROR(VLOOKUP($B51,'Bảng tổng hợp'!$B:$BB,11,0),"")</f>
        <v>400000</v>
      </c>
      <c r="L51" s="240">
        <f>IFERROR(VLOOKUP($B51,'Bảng tổng hợp'!$B:$BB,12,0),"")</f>
        <v>400000</v>
      </c>
      <c r="M51" s="240">
        <f>IFERROR(VLOOKUP($B51,'Bảng tổng hợp'!$B:$BB,13,0),"")</f>
        <v>8800000</v>
      </c>
      <c r="N51" s="240">
        <f>IFERROR(VLOOKUP($B51,'Bảng tổng hợp'!$B:$BB,6,0),"")</f>
        <v>6500000</v>
      </c>
      <c r="O51" s="314">
        <f>VLOOKUP(B51,'Bảng tổng hợp'!$B$4:$O$47,14,0)</f>
        <v>26</v>
      </c>
      <c r="P51" s="240">
        <f>VLOOKUP(B51,'Bảng tổng hợp'!$B$4:$AA$41,23,0)</f>
        <v>1000000</v>
      </c>
      <c r="Q51" s="240">
        <f>VLOOKUP(B51,'Bảng tổng hợp'!$B$4:$AA$41,24,0)</f>
        <v>500000</v>
      </c>
      <c r="R51" s="240">
        <f>VLOOKUP(B51,'Bảng tổng hợp'!$B$4:$AA$41,25,0)</f>
        <v>400000</v>
      </c>
      <c r="S51" s="240">
        <f>VLOOKUP(B51,'Bảng tổng hợp'!$B$4:$AA$41,26,0)</f>
        <v>400000</v>
      </c>
      <c r="T51" s="240">
        <f>IFERROR(VLOOKUP($B51,'Bảng tổng hợp'!$B:$BB,15,0),"")</f>
        <v>1</v>
      </c>
      <c r="U51" s="240">
        <f>IFERROR(VLOOKUP($B51,'Bảng tổng hợp'!$B:$BB,16,0),"")</f>
        <v>250000</v>
      </c>
      <c r="V51" s="314">
        <f>VLOOKUP($B51,'Bảng tổng hợp'!$B:$BB,17,0)</f>
        <v>38.819999999999993</v>
      </c>
      <c r="W51" s="240">
        <f>IFERROR(VLOOKUP($B51,'Bảng tổng hợp'!$B:$BB,18,0),"")</f>
        <v>1819688</v>
      </c>
      <c r="X51" s="314">
        <f>VLOOKUP($B51,'Bảng tổng hợp'!$B:$BB,19,0)</f>
        <v>0</v>
      </c>
      <c r="Y51" s="240">
        <f>IFERROR(VLOOKUP($B51,'Bảng tổng hợp'!$B:$BB,20,0),"")</f>
        <v>0</v>
      </c>
      <c r="Z51" s="240">
        <f>IFERROR(VLOOKUP($B51,'Bảng tổng hợp'!$B:$BB,27,0),"")</f>
        <v>0</v>
      </c>
      <c r="AA51" s="240">
        <f>IFERROR(VLOOKUP($B51,'Bảng tổng hợp'!$B:$BB,28,0),"")</f>
        <v>10869688</v>
      </c>
      <c r="AB51" s="240">
        <f>IFERROR(VLOOKUP($B51,'Bảng tổng hợp'!$B:$BB,38,0),"")</f>
        <v>1397500</v>
      </c>
      <c r="AC51" s="240">
        <f>IFERROR(VLOOKUP($B51,'Bảng tổng hợp'!$B:$BB,39,0),"")</f>
        <v>130000</v>
      </c>
      <c r="AD51" s="240">
        <f>IFERROR(VLOOKUP($B51,'Bảng tổng hợp'!$B:$BB,43,0),"")</f>
        <v>682500</v>
      </c>
      <c r="AE51" s="240">
        <f>IFERROR(VLOOKUP($B51,'Bảng tổng hợp'!$B:$BB,44,0),"")</f>
        <v>0</v>
      </c>
      <c r="AF51" s="240">
        <f>IFERROR(VLOOKUP($B51,'Bảng tổng hợp'!$B:$BB,52,0),"")</f>
        <v>0</v>
      </c>
      <c r="AG51" s="240">
        <f>IFERROR(VLOOKUP($B51,'Bảng tổng hợp'!$B:$BB,48,0),"")</f>
        <v>15500000</v>
      </c>
      <c r="AH51" s="240">
        <f>IFERROR(VLOOKUP($B51,'Bảng tổng hợp'!$B:$BB,49,0),"")</f>
        <v>7520000</v>
      </c>
      <c r="AI51" s="240">
        <f>IFERROR(VLOOKUP($B51,'Bảng tổng hợp'!$B:$BB,50,0),"")</f>
        <v>0</v>
      </c>
      <c r="AJ51" s="240">
        <f>IFERROR(VLOOKUP($B51,'Bảng tổng hợp'!$B:$BB,51,0),"")</f>
        <v>0</v>
      </c>
      <c r="AK51" s="240">
        <f>IFERROR(VLOOKUP($B51,'Bảng tổng hợp'!$B:$BB,53,0),"")</f>
        <v>10187188</v>
      </c>
    </row>
    <row r="52" spans="1:37" s="241" customFormat="1" ht="39.75" customHeight="1" x14ac:dyDescent="0.25">
      <c r="A52" s="237">
        <v>34</v>
      </c>
      <c r="B52" s="238" t="str">
        <f>'Bảng tổng hợp'!B40</f>
        <v>NV041</v>
      </c>
      <c r="C52" s="239" t="str">
        <f>IFERROR(VLOOKUP($B52,'Bảng tổng hợp'!$B:$BB,2,0),"")</f>
        <v>Võ Thị Xuân Dung</v>
      </c>
      <c r="D52" s="240" t="str">
        <f>IFERROR(VLOOKUP($B52,'Bảng tổng hợp'!$B:$BB,3,0),"")</f>
        <v>HĐLĐ</v>
      </c>
      <c r="E52" s="240" t="str">
        <f>IFERROR(VLOOKUP($B52,'Bảng tổng hợp'!$B:$BB,4,0),"")</f>
        <v>Nhân viên</v>
      </c>
      <c r="F52" s="240" t="str">
        <f>IFERROR(VLOOKUP($B52,'Bảng tổng hợp'!$B:$BB,5,0),"")</f>
        <v>Sản xuất</v>
      </c>
      <c r="G52" s="240">
        <f>IFERROR(VLOOKUP($B52,'Bảng tổng hợp'!$B:$BB,7,0),"")</f>
        <v>6500000</v>
      </c>
      <c r="H52" s="240">
        <f>IFERROR(VLOOKUP($B52,'Bảng tổng hợp'!$B:$BB,8,0),"")</f>
        <v>500000</v>
      </c>
      <c r="I52" s="240">
        <f>IFERROR(VLOOKUP($B52,'Bảng tổng hợp'!$B:$BB,9,0),"")</f>
        <v>1000000</v>
      </c>
      <c r="J52" s="240">
        <f>IFERROR(VLOOKUP($B52,'Bảng tổng hợp'!$B:$BB,10,0),"")</f>
        <v>500000</v>
      </c>
      <c r="K52" s="240">
        <f>IFERROR(VLOOKUP($B52,'Bảng tổng hợp'!$B:$BB,11,0),"")</f>
        <v>400000</v>
      </c>
      <c r="L52" s="240">
        <f>IFERROR(VLOOKUP($B52,'Bảng tổng hợp'!$B:$BB,12,0),"")</f>
        <v>400000</v>
      </c>
      <c r="M52" s="240">
        <f>IFERROR(VLOOKUP($B52,'Bảng tổng hợp'!$B:$BB,13,0),"")</f>
        <v>9300000</v>
      </c>
      <c r="N52" s="240">
        <f>IFERROR(VLOOKUP($B52,'Bảng tổng hợp'!$B:$BB,6,0),"")</f>
        <v>7000000</v>
      </c>
      <c r="O52" s="314">
        <f>VLOOKUP(B52,'Bảng tổng hợp'!$B$4:$O$47,14,0)</f>
        <v>26</v>
      </c>
      <c r="P52" s="240">
        <f>VLOOKUP(B52,'Bảng tổng hợp'!$B$4:$AA$41,23,0)</f>
        <v>1000000</v>
      </c>
      <c r="Q52" s="240">
        <f>VLOOKUP(B52,'Bảng tổng hợp'!$B$4:$AA$41,24,0)</f>
        <v>500000</v>
      </c>
      <c r="R52" s="240">
        <f>VLOOKUP(B52,'Bảng tổng hợp'!$B$4:$AA$41,25,0)</f>
        <v>400000</v>
      </c>
      <c r="S52" s="240">
        <f>VLOOKUP(B52,'Bảng tổng hợp'!$B$4:$AA$41,26,0)</f>
        <v>400000</v>
      </c>
      <c r="T52" s="240">
        <f>IFERROR(VLOOKUP($B52,'Bảng tổng hợp'!$B:$BB,15,0),"")</f>
        <v>0</v>
      </c>
      <c r="U52" s="240">
        <f>IFERROR(VLOOKUP($B52,'Bảng tổng hợp'!$B:$BB,16,0),"")</f>
        <v>0</v>
      </c>
      <c r="V52" s="314">
        <f>VLOOKUP($B52,'Bảng tổng hợp'!$B:$BB,17,0)</f>
        <v>23.754000000000001</v>
      </c>
      <c r="W52" s="240">
        <f>IFERROR(VLOOKUP($B52,'Bảng tổng hợp'!$B:$BB,18,0),"")</f>
        <v>1199120</v>
      </c>
      <c r="X52" s="314">
        <f>VLOOKUP($B52,'Bảng tổng hợp'!$B:$BB,19,0)</f>
        <v>0</v>
      </c>
      <c r="Y52" s="240">
        <f>IFERROR(VLOOKUP($B52,'Bảng tổng hợp'!$B:$BB,20,0),"")</f>
        <v>0</v>
      </c>
      <c r="Z52" s="240">
        <f>IFERROR(VLOOKUP($B52,'Bảng tổng hợp'!$B:$BB,27,0),"")</f>
        <v>0</v>
      </c>
      <c r="AA52" s="240">
        <f>IFERROR(VLOOKUP($B52,'Bảng tổng hợp'!$B:$BB,28,0),"")</f>
        <v>10499120</v>
      </c>
      <c r="AB52" s="240">
        <f>IFERROR(VLOOKUP($B52,'Bảng tổng hợp'!$B:$BB,38,0),"")</f>
        <v>1505000</v>
      </c>
      <c r="AC52" s="240">
        <f>IFERROR(VLOOKUP($B52,'Bảng tổng hợp'!$B:$BB,39,0),"")</f>
        <v>140000</v>
      </c>
      <c r="AD52" s="240">
        <f>IFERROR(VLOOKUP($B52,'Bảng tổng hợp'!$B:$BB,43,0),"")</f>
        <v>735000</v>
      </c>
      <c r="AE52" s="240">
        <f>IFERROR(VLOOKUP($B52,'Bảng tổng hợp'!$B:$BB,44,0),"")</f>
        <v>0</v>
      </c>
      <c r="AF52" s="240">
        <f>IFERROR(VLOOKUP($B52,'Bảng tổng hợp'!$B:$BB,52,0),"")</f>
        <v>0</v>
      </c>
      <c r="AG52" s="240">
        <f>IFERROR(VLOOKUP($B52,'Bảng tổng hợp'!$B:$BB,48,0),"")</f>
        <v>15500000</v>
      </c>
      <c r="AH52" s="240">
        <f>IFERROR(VLOOKUP($B52,'Bảng tổng hợp'!$B:$BB,49,0),"")</f>
        <v>7770000</v>
      </c>
      <c r="AI52" s="240">
        <f>IFERROR(VLOOKUP($B52,'Bảng tổng hợp'!$B:$BB,50,0),"")</f>
        <v>0</v>
      </c>
      <c r="AJ52" s="240">
        <f>IFERROR(VLOOKUP($B52,'Bảng tổng hợp'!$B:$BB,51,0),"")</f>
        <v>0</v>
      </c>
      <c r="AK52" s="240">
        <f>IFERROR(VLOOKUP($B52,'Bảng tổng hợp'!$B:$BB,53,0),"")</f>
        <v>9764120</v>
      </c>
    </row>
    <row r="53" spans="1:37" s="241" customFormat="1" ht="24" customHeight="1" x14ac:dyDescent="0.25">
      <c r="A53" s="242" t="s">
        <v>289</v>
      </c>
      <c r="B53" s="243"/>
      <c r="C53" s="244"/>
      <c r="D53" s="240"/>
      <c r="E53" s="240"/>
      <c r="F53" s="240"/>
      <c r="G53" s="235">
        <f>G54</f>
        <v>7500000</v>
      </c>
      <c r="H53" s="235">
        <f t="shared" ref="H53:AK53" si="30">H54</f>
        <v>1000000</v>
      </c>
      <c r="I53" s="235">
        <f t="shared" si="30"/>
        <v>1800000</v>
      </c>
      <c r="J53" s="235">
        <f t="shared" si="30"/>
        <v>500000</v>
      </c>
      <c r="K53" s="235">
        <f t="shared" si="30"/>
        <v>400000</v>
      </c>
      <c r="L53" s="235">
        <f t="shared" si="30"/>
        <v>400000</v>
      </c>
      <c r="M53" s="235">
        <f t="shared" si="30"/>
        <v>11600000</v>
      </c>
      <c r="N53" s="235">
        <f t="shared" si="30"/>
        <v>8500000</v>
      </c>
      <c r="O53" s="235">
        <f t="shared" si="30"/>
        <v>26</v>
      </c>
      <c r="P53" s="235">
        <f t="shared" si="30"/>
        <v>1800000</v>
      </c>
      <c r="Q53" s="235">
        <f t="shared" si="30"/>
        <v>500000</v>
      </c>
      <c r="R53" s="235">
        <f t="shared" si="30"/>
        <v>400000</v>
      </c>
      <c r="S53" s="235">
        <f t="shared" si="30"/>
        <v>400000</v>
      </c>
      <c r="T53" s="235">
        <f t="shared" si="30"/>
        <v>0</v>
      </c>
      <c r="U53" s="235">
        <f t="shared" si="30"/>
        <v>0</v>
      </c>
      <c r="V53" s="235">
        <f t="shared" si="30"/>
        <v>16.739999999999998</v>
      </c>
      <c r="W53" s="235">
        <f t="shared" si="30"/>
        <v>1026130</v>
      </c>
      <c r="X53" s="235">
        <f t="shared" si="30"/>
        <v>0</v>
      </c>
      <c r="Y53" s="235">
        <f t="shared" si="30"/>
        <v>0</v>
      </c>
      <c r="Z53" s="235">
        <f t="shared" si="30"/>
        <v>500000</v>
      </c>
      <c r="AA53" s="235">
        <f t="shared" si="30"/>
        <v>13126130</v>
      </c>
      <c r="AB53" s="235">
        <f t="shared" si="30"/>
        <v>1827500</v>
      </c>
      <c r="AC53" s="235">
        <f t="shared" si="30"/>
        <v>170000</v>
      </c>
      <c r="AD53" s="235">
        <f t="shared" si="30"/>
        <v>892500</v>
      </c>
      <c r="AE53" s="235">
        <f t="shared" si="30"/>
        <v>0</v>
      </c>
      <c r="AF53" s="235">
        <f t="shared" si="30"/>
        <v>0</v>
      </c>
      <c r="AG53" s="235">
        <f t="shared" si="30"/>
        <v>15500000</v>
      </c>
      <c r="AH53" s="235">
        <f t="shared" si="30"/>
        <v>9500000</v>
      </c>
      <c r="AI53" s="235">
        <f t="shared" si="30"/>
        <v>0</v>
      </c>
      <c r="AJ53" s="235">
        <f t="shared" si="30"/>
        <v>0</v>
      </c>
      <c r="AK53" s="235">
        <f t="shared" si="30"/>
        <v>12233630</v>
      </c>
    </row>
    <row r="54" spans="1:37" s="241" customFormat="1" ht="39.75" customHeight="1" x14ac:dyDescent="0.25">
      <c r="A54" s="237">
        <v>35</v>
      </c>
      <c r="B54" s="238" t="str">
        <f>+'Bảng tổng hợp'!B34</f>
        <v>NV024</v>
      </c>
      <c r="C54" s="239" t="str">
        <f>IFERROR(VLOOKUP($B54,'Bảng tổng hợp'!$B:$BB,2,0),"")</f>
        <v>Trần Tuấn Kiệt</v>
      </c>
      <c r="D54" s="240" t="str">
        <f>IFERROR(VLOOKUP($B54,'Bảng tổng hợp'!$B:$BB,3,0),"")</f>
        <v>HĐLĐ</v>
      </c>
      <c r="E54" s="240" t="str">
        <f>IFERROR(VLOOKUP($B54,'Bảng tổng hợp'!$B:$BB,4,0),"")</f>
        <v>Trưởng phòng</v>
      </c>
      <c r="F54" s="240" t="str">
        <f>IFERROR(VLOOKUP($B54,'Bảng tổng hợp'!$B:$BB,5,0),"")</f>
        <v>Sáng tạo</v>
      </c>
      <c r="G54" s="240">
        <f>IFERROR(VLOOKUP($B54,'Bảng tổng hợp'!$B:$BB,7,0),"")</f>
        <v>7500000</v>
      </c>
      <c r="H54" s="240">
        <f>IFERROR(VLOOKUP($B54,'Bảng tổng hợp'!$B:$BB,8,0),"")</f>
        <v>1000000</v>
      </c>
      <c r="I54" s="240">
        <f>IFERROR(VLOOKUP($B54,'Bảng tổng hợp'!$B:$BB,9,0),"")</f>
        <v>1800000</v>
      </c>
      <c r="J54" s="240">
        <f>IFERROR(VLOOKUP($B54,'Bảng tổng hợp'!$B:$BB,10,0),"")</f>
        <v>500000</v>
      </c>
      <c r="K54" s="240">
        <f>IFERROR(VLOOKUP($B54,'Bảng tổng hợp'!$B:$BB,11,0),"")</f>
        <v>400000</v>
      </c>
      <c r="L54" s="240">
        <f>IFERROR(VLOOKUP($B54,'Bảng tổng hợp'!$B:$BB,12,0),"")</f>
        <v>400000</v>
      </c>
      <c r="M54" s="240">
        <f>IFERROR(VLOOKUP($B54,'Bảng tổng hợp'!$B:$BB,13,0),"")</f>
        <v>11600000</v>
      </c>
      <c r="N54" s="240">
        <f>IFERROR(VLOOKUP($B54,'Bảng tổng hợp'!$B:$BB,6,0),"")</f>
        <v>8500000</v>
      </c>
      <c r="O54" s="314">
        <f>VLOOKUP(B54,'Bảng tổng hợp'!$B$4:$O$47,14,0)</f>
        <v>26</v>
      </c>
      <c r="P54" s="240">
        <f>VLOOKUP(B54,'Bảng tổng hợp'!$B$4:$AA$41,23,0)</f>
        <v>1800000</v>
      </c>
      <c r="Q54" s="240">
        <f>VLOOKUP(B54,'Bảng tổng hợp'!$B$4:$AA$41,24,0)</f>
        <v>500000</v>
      </c>
      <c r="R54" s="240">
        <f>VLOOKUP(B54,'Bảng tổng hợp'!$B$4:$AA$41,25,0)</f>
        <v>400000</v>
      </c>
      <c r="S54" s="240">
        <f>VLOOKUP(B54,'Bảng tổng hợp'!$B$4:$AA$41,26,0)</f>
        <v>400000</v>
      </c>
      <c r="T54" s="240">
        <f>IFERROR(VLOOKUP($B54,'Bảng tổng hợp'!$B:$BB,15,0),"")</f>
        <v>0</v>
      </c>
      <c r="U54" s="240">
        <f>IFERROR(VLOOKUP($B54,'Bảng tổng hợp'!$B:$BB,16,0),"")</f>
        <v>0</v>
      </c>
      <c r="V54" s="314">
        <f>VLOOKUP($B54,'Bảng tổng hợp'!$B:$BB,17,0)</f>
        <v>16.739999999999998</v>
      </c>
      <c r="W54" s="240">
        <f>IFERROR(VLOOKUP($B54,'Bảng tổng hợp'!$B:$BB,18,0),"")</f>
        <v>1026130</v>
      </c>
      <c r="X54" s="314">
        <f>VLOOKUP($B54,'Bảng tổng hợp'!$B:$BB,19,0)</f>
        <v>0</v>
      </c>
      <c r="Y54" s="240">
        <f>IFERROR(VLOOKUP($B54,'Bảng tổng hợp'!$B:$BB,20,0),"")</f>
        <v>0</v>
      </c>
      <c r="Z54" s="240">
        <f>IFERROR(VLOOKUP($B54,'Bảng tổng hợp'!$B:$BB,27,0),"")</f>
        <v>500000</v>
      </c>
      <c r="AA54" s="240">
        <f>IFERROR(VLOOKUP($B54,'Bảng tổng hợp'!$B:$BB,28,0),"")</f>
        <v>13126130</v>
      </c>
      <c r="AB54" s="240">
        <f>IFERROR(VLOOKUP($B54,'Bảng tổng hợp'!$B:$BB,38,0),"")</f>
        <v>1827500</v>
      </c>
      <c r="AC54" s="240">
        <f>IFERROR(VLOOKUP($B54,'Bảng tổng hợp'!$B:$BB,39,0),"")</f>
        <v>170000</v>
      </c>
      <c r="AD54" s="240">
        <f>IFERROR(VLOOKUP($B54,'Bảng tổng hợp'!$B:$BB,43,0),"")</f>
        <v>892500</v>
      </c>
      <c r="AE54" s="240">
        <f>IFERROR(VLOOKUP($B54,'Bảng tổng hợp'!$B:$BB,44,0),"")</f>
        <v>0</v>
      </c>
      <c r="AF54" s="240">
        <f>IFERROR(VLOOKUP($B54,'Bảng tổng hợp'!$B:$BB,52,0),"")</f>
        <v>0</v>
      </c>
      <c r="AG54" s="240">
        <f>IFERROR(VLOOKUP($B54,'Bảng tổng hợp'!$B:$BB,48,0),"")</f>
        <v>15500000</v>
      </c>
      <c r="AH54" s="240">
        <f>IFERROR(VLOOKUP($B54,'Bảng tổng hợp'!$B:$BB,49,0),"")</f>
        <v>9500000</v>
      </c>
      <c r="AI54" s="240">
        <f>IFERROR(VLOOKUP($B54,'Bảng tổng hợp'!$B:$BB,50,0),"")</f>
        <v>0</v>
      </c>
      <c r="AJ54" s="240">
        <f>IFERROR(VLOOKUP($B54,'Bảng tổng hợp'!$B:$BB,51,0),"")</f>
        <v>0</v>
      </c>
      <c r="AK54" s="240">
        <f>IFERROR(VLOOKUP($B54,'Bảng tổng hợp'!$B:$BB,53,0),"")</f>
        <v>12233630</v>
      </c>
    </row>
    <row r="55" spans="1:37" s="241" customFormat="1" ht="24" customHeight="1" x14ac:dyDescent="0.25">
      <c r="A55" s="242" t="s">
        <v>290</v>
      </c>
      <c r="B55" s="243"/>
      <c r="C55" s="244"/>
      <c r="D55" s="240"/>
      <c r="E55" s="240"/>
      <c r="F55" s="240"/>
      <c r="G55" s="235">
        <f>SUM(G56:G58)</f>
        <v>23000000</v>
      </c>
      <c r="H55" s="235">
        <f t="shared" ref="H55:AK55" si="31">SUM(H56:H58)</f>
        <v>3500000</v>
      </c>
      <c r="I55" s="235">
        <f t="shared" si="31"/>
        <v>4600000</v>
      </c>
      <c r="J55" s="235">
        <f t="shared" si="31"/>
        <v>1500000</v>
      </c>
      <c r="K55" s="235">
        <f t="shared" si="31"/>
        <v>1100000</v>
      </c>
      <c r="L55" s="235">
        <f t="shared" si="31"/>
        <v>1200000</v>
      </c>
      <c r="M55" s="235">
        <f t="shared" si="31"/>
        <v>34900000</v>
      </c>
      <c r="N55" s="235">
        <f t="shared" si="31"/>
        <v>18500000</v>
      </c>
      <c r="O55" s="235">
        <f t="shared" si="31"/>
        <v>68</v>
      </c>
      <c r="P55" s="235">
        <f t="shared" si="31"/>
        <v>3907692.307692308</v>
      </c>
      <c r="Q55" s="235">
        <f t="shared" si="31"/>
        <v>1307692.3076923077</v>
      </c>
      <c r="R55" s="235">
        <f t="shared" si="31"/>
        <v>976923.07692307688</v>
      </c>
      <c r="S55" s="235">
        <f t="shared" si="31"/>
        <v>800000</v>
      </c>
      <c r="T55" s="235">
        <f t="shared" si="31"/>
        <v>1</v>
      </c>
      <c r="U55" s="235">
        <f t="shared" si="31"/>
        <v>384615.38461538462</v>
      </c>
      <c r="V55" s="235">
        <f t="shared" si="31"/>
        <v>9.3000000000000007</v>
      </c>
      <c r="W55" s="235">
        <f t="shared" si="31"/>
        <v>627692</v>
      </c>
      <c r="X55" s="235">
        <f t="shared" si="31"/>
        <v>0</v>
      </c>
      <c r="Y55" s="235">
        <f t="shared" si="31"/>
        <v>0</v>
      </c>
      <c r="Z55" s="235">
        <f t="shared" si="31"/>
        <v>0</v>
      </c>
      <c r="AA55" s="235">
        <f t="shared" si="31"/>
        <v>29977691.999999996</v>
      </c>
      <c r="AB55" s="235">
        <f t="shared" si="31"/>
        <v>3977500</v>
      </c>
      <c r="AC55" s="235">
        <f t="shared" si="31"/>
        <v>370000</v>
      </c>
      <c r="AD55" s="235">
        <f t="shared" si="31"/>
        <v>1942500</v>
      </c>
      <c r="AE55" s="235">
        <f t="shared" si="31"/>
        <v>0</v>
      </c>
      <c r="AF55" s="235">
        <f t="shared" si="31"/>
        <v>0</v>
      </c>
      <c r="AG55" s="235">
        <f t="shared" si="31"/>
        <v>31000000</v>
      </c>
      <c r="AH55" s="235">
        <f t="shared" si="31"/>
        <v>24965384</v>
      </c>
      <c r="AI55" s="235">
        <f t="shared" si="31"/>
        <v>8600000</v>
      </c>
      <c r="AJ55" s="235">
        <f t="shared" si="31"/>
        <v>860000</v>
      </c>
      <c r="AK55" s="235">
        <f t="shared" si="31"/>
        <v>27175192</v>
      </c>
    </row>
    <row r="56" spans="1:37" s="241" customFormat="1" ht="39.75" customHeight="1" x14ac:dyDescent="0.25">
      <c r="A56" s="237">
        <v>36</v>
      </c>
      <c r="B56" s="238" t="str">
        <f>+'Bảng tổng hợp'!B35</f>
        <v>NV009</v>
      </c>
      <c r="C56" s="239" t="str">
        <f>IFERROR(VLOOKUP($B56,'Bảng tổng hợp'!$B:$BB,2,0),"")</f>
        <v>Trần Thị Thanh Dung</v>
      </c>
      <c r="D56" s="240" t="str">
        <f>IFERROR(VLOOKUP($B56,'Bảng tổng hợp'!$B:$BB,3,0),"")</f>
        <v>HĐLĐ</v>
      </c>
      <c r="E56" s="240" t="str">
        <f>IFERROR(VLOOKUP($B56,'Bảng tổng hợp'!$B:$BB,4,0),"")</f>
        <v xml:space="preserve">Kế toán </v>
      </c>
      <c r="F56" s="240" t="str">
        <f>IFERROR(VLOOKUP($B56,'Bảng tổng hợp'!$B:$BB,5,0),"")</f>
        <v>Kế toán</v>
      </c>
      <c r="G56" s="240">
        <f>IFERROR(VLOOKUP($B56,'Bảng tổng hợp'!$B:$BB,7,0),"")</f>
        <v>7500000</v>
      </c>
      <c r="H56" s="240">
        <f>IFERROR(VLOOKUP($B56,'Bảng tổng hợp'!$B:$BB,8,0),"")</f>
        <v>1000000</v>
      </c>
      <c r="I56" s="240">
        <f>IFERROR(VLOOKUP($B56,'Bảng tổng hợp'!$B:$BB,9,0),"")</f>
        <v>1800000</v>
      </c>
      <c r="J56" s="240">
        <f>IFERROR(VLOOKUP($B56,'Bảng tổng hợp'!$B:$BB,10,0),"")</f>
        <v>500000</v>
      </c>
      <c r="K56" s="240">
        <f>IFERROR(VLOOKUP($B56,'Bảng tổng hợp'!$B:$BB,11,0),"")</f>
        <v>300000</v>
      </c>
      <c r="L56" s="240">
        <f>IFERROR(VLOOKUP($B56,'Bảng tổng hợp'!$B:$BB,12,0),"")</f>
        <v>400000</v>
      </c>
      <c r="M56" s="240">
        <f>IFERROR(VLOOKUP($B56,'Bảng tổng hợp'!$B:$BB,13,0),"")</f>
        <v>11500000</v>
      </c>
      <c r="N56" s="240">
        <f>IFERROR(VLOOKUP($B56,'Bảng tổng hợp'!$B:$BB,6,0),"")</f>
        <v>8500000</v>
      </c>
      <c r="O56" s="314">
        <f>VLOOKUP(B56,'Bảng tổng hợp'!$B$4:$O$47,14,0)</f>
        <v>17</v>
      </c>
      <c r="P56" s="240">
        <f>VLOOKUP(B56,'Bảng tổng hợp'!$B$4:$AA$41,23,0)</f>
        <v>1176923.076923077</v>
      </c>
      <c r="Q56" s="240">
        <f>VLOOKUP(B56,'Bảng tổng hợp'!$B$4:$AA$41,24,0)</f>
        <v>326923.07692307694</v>
      </c>
      <c r="R56" s="240">
        <f>VLOOKUP(B56,'Bảng tổng hợp'!$B$4:$AA$41,25,0)</f>
        <v>196153.84615384616</v>
      </c>
      <c r="S56" s="240">
        <f>VLOOKUP(B56,'Bảng tổng hợp'!$B$4:$AA$41,26,0)</f>
        <v>400000</v>
      </c>
      <c r="T56" s="240">
        <f>IFERROR(VLOOKUP($B56,'Bảng tổng hợp'!$B:$BB,15,0),"")</f>
        <v>0</v>
      </c>
      <c r="U56" s="240">
        <f>IFERROR(VLOOKUP($B56,'Bảng tổng hợp'!$B:$BB,16,0),"")</f>
        <v>0</v>
      </c>
      <c r="V56" s="314">
        <f>VLOOKUP($B56,'Bảng tổng hợp'!$B:$BB,17,0)</f>
        <v>0</v>
      </c>
      <c r="W56" s="240">
        <f>IFERROR(VLOOKUP($B56,'Bảng tổng hợp'!$B:$BB,18,0),"")</f>
        <v>0</v>
      </c>
      <c r="X56" s="314">
        <f>VLOOKUP($B56,'Bảng tổng hợp'!$B:$BB,19,0)</f>
        <v>0</v>
      </c>
      <c r="Y56" s="240">
        <f>IFERROR(VLOOKUP($B56,'Bảng tổng hợp'!$B:$BB,20,0),"")</f>
        <v>0</v>
      </c>
      <c r="Z56" s="240">
        <f>IFERROR(VLOOKUP($B56,'Bảng tổng hợp'!$B:$BB,27,0),"")</f>
        <v>0</v>
      </c>
      <c r="AA56" s="240">
        <f>IFERROR(VLOOKUP($B56,'Bảng tổng hợp'!$B:$BB,28,0),"")</f>
        <v>7657692.307692307</v>
      </c>
      <c r="AB56" s="240">
        <f>IFERROR(VLOOKUP($B56,'Bảng tổng hợp'!$B:$BB,38,0),"")</f>
        <v>1827500</v>
      </c>
      <c r="AC56" s="240">
        <f>IFERROR(VLOOKUP($B56,'Bảng tổng hợp'!$B:$BB,39,0),"")</f>
        <v>170000</v>
      </c>
      <c r="AD56" s="240">
        <f>IFERROR(VLOOKUP($B56,'Bảng tổng hợp'!$B:$BB,43,0),"")</f>
        <v>892500</v>
      </c>
      <c r="AE56" s="240">
        <f>IFERROR(VLOOKUP($B56,'Bảng tổng hợp'!$B:$BB,44,0),"")</f>
        <v>0</v>
      </c>
      <c r="AF56" s="240">
        <f>IFERROR(VLOOKUP($B56,'Bảng tổng hợp'!$B:$BB,52,0),"")</f>
        <v>0</v>
      </c>
      <c r="AG56" s="240">
        <f>IFERROR(VLOOKUP($B56,'Bảng tổng hợp'!$B:$BB,48,0),"")</f>
        <v>15500000</v>
      </c>
      <c r="AH56" s="240">
        <f>IFERROR(VLOOKUP($B56,'Bảng tổng hợp'!$B:$BB,49,0),"")</f>
        <v>5884615</v>
      </c>
      <c r="AI56" s="240">
        <f>IFERROR(VLOOKUP($B56,'Bảng tổng hợp'!$B:$BB,50,0),"")</f>
        <v>0</v>
      </c>
      <c r="AJ56" s="240">
        <f>IFERROR(VLOOKUP($B56,'Bảng tổng hợp'!$B:$BB,51,0),"")</f>
        <v>0</v>
      </c>
      <c r="AK56" s="240">
        <f>IFERROR(VLOOKUP($B56,'Bảng tổng hợp'!$B:$BB,53,0),"")</f>
        <v>6765192</v>
      </c>
    </row>
    <row r="57" spans="1:37" s="241" customFormat="1" ht="39.75" customHeight="1" x14ac:dyDescent="0.25">
      <c r="A57" s="237">
        <v>37</v>
      </c>
      <c r="B57" s="238" t="str">
        <f>+'Bảng tổng hợp'!B36</f>
        <v>NV037</v>
      </c>
      <c r="C57" s="239" t="str">
        <f>IFERROR(VLOOKUP($B57,'Bảng tổng hợp'!$B:$BB,2,0),"")</f>
        <v xml:space="preserve">Vũ Thị Mai Thủy </v>
      </c>
      <c r="D57" s="240" t="str">
        <f>IFERROR(VLOOKUP($B57,'Bảng tổng hợp'!$B:$BB,3,0),"")</f>
        <v>HĐLĐ</v>
      </c>
      <c r="E57" s="240" t="str">
        <f>IFERROR(VLOOKUP($B57,'Bảng tổng hợp'!$B:$BB,4,0),"")</f>
        <v>Kế toán trưởng</v>
      </c>
      <c r="F57" s="240" t="str">
        <f>IFERROR(VLOOKUP($B57,'Bảng tổng hợp'!$B:$BB,5,0),"")</f>
        <v>Kế toán</v>
      </c>
      <c r="G57" s="240">
        <f>IFERROR(VLOOKUP($B57,'Bảng tổng hợp'!$B:$BB,7,0),"")</f>
        <v>8500000</v>
      </c>
      <c r="H57" s="240">
        <f>IFERROR(VLOOKUP($B57,'Bảng tổng hợp'!$B:$BB,8,0),"")</f>
        <v>1500000</v>
      </c>
      <c r="I57" s="240">
        <f>IFERROR(VLOOKUP($B57,'Bảng tổng hợp'!$B:$BB,9,0),"")</f>
        <v>1800000</v>
      </c>
      <c r="J57" s="240">
        <f>IFERROR(VLOOKUP($B57,'Bảng tổng hợp'!$B:$BB,10,0),"")</f>
        <v>500000</v>
      </c>
      <c r="K57" s="240">
        <f>IFERROR(VLOOKUP($B57,'Bảng tổng hợp'!$B:$BB,11,0),"")</f>
        <v>500000</v>
      </c>
      <c r="L57" s="240">
        <f>IFERROR(VLOOKUP($B57,'Bảng tổng hợp'!$B:$BB,12,0),"")</f>
        <v>400000</v>
      </c>
      <c r="M57" s="240">
        <f>IFERROR(VLOOKUP($B57,'Bảng tổng hợp'!$B:$BB,13,0),"")</f>
        <v>13200000</v>
      </c>
      <c r="N57" s="240">
        <f>IFERROR(VLOOKUP($B57,'Bảng tổng hợp'!$B:$BB,6,0),"")</f>
        <v>10000000</v>
      </c>
      <c r="O57" s="314">
        <f>VLOOKUP(B57,'Bảng tổng hợp'!$B$4:$O$47,14,0)</f>
        <v>25</v>
      </c>
      <c r="P57" s="240">
        <f>VLOOKUP(B57,'Bảng tổng hợp'!$B$4:$AA$41,23,0)</f>
        <v>1730769.2307692308</v>
      </c>
      <c r="Q57" s="240">
        <f>VLOOKUP(B57,'Bảng tổng hợp'!$B$4:$AA$41,24,0)</f>
        <v>480769.23076923075</v>
      </c>
      <c r="R57" s="240">
        <f>VLOOKUP(B57,'Bảng tổng hợp'!$B$4:$AA$41,25,0)</f>
        <v>480769.23076923075</v>
      </c>
      <c r="S57" s="240">
        <f>VLOOKUP(B57,'Bảng tổng hợp'!$B$4:$AA$41,26,0)</f>
        <v>400000</v>
      </c>
      <c r="T57" s="240">
        <f>IFERROR(VLOOKUP($B57,'Bảng tổng hợp'!$B:$BB,15,0),"")</f>
        <v>1</v>
      </c>
      <c r="U57" s="240">
        <f>IFERROR(VLOOKUP($B57,'Bảng tổng hợp'!$B:$BB,16,0),"")</f>
        <v>384615.38461538462</v>
      </c>
      <c r="V57" s="314">
        <f>VLOOKUP($B57,'Bảng tổng hợp'!$B:$BB,17,0)</f>
        <v>6.32</v>
      </c>
      <c r="W57" s="240">
        <f>IFERROR(VLOOKUP($B57,'Bảng tổng hợp'!$B:$BB,18,0),"")</f>
        <v>455769</v>
      </c>
      <c r="X57" s="314">
        <f>VLOOKUP($B57,'Bảng tổng hợp'!$B:$BB,19,0)</f>
        <v>0</v>
      </c>
      <c r="Y57" s="240">
        <f>IFERROR(VLOOKUP($B57,'Bảng tổng hợp'!$B:$BB,20,0),"")</f>
        <v>0</v>
      </c>
      <c r="Z57" s="240">
        <f>IFERROR(VLOOKUP($B57,'Bảng tổng hợp'!$B:$BB,27,0),"")</f>
        <v>0</v>
      </c>
      <c r="AA57" s="240">
        <f>IFERROR(VLOOKUP($B57,'Bảng tổng hợp'!$B:$BB,28,0),"")</f>
        <v>13548076.69230769</v>
      </c>
      <c r="AB57" s="240">
        <f>IFERROR(VLOOKUP($B57,'Bảng tổng hợp'!$B:$BB,38,0),"")</f>
        <v>2150000</v>
      </c>
      <c r="AC57" s="240">
        <f>IFERROR(VLOOKUP($B57,'Bảng tổng hợp'!$B:$BB,39,0),"")</f>
        <v>200000</v>
      </c>
      <c r="AD57" s="240">
        <f>IFERROR(VLOOKUP($B57,'Bảng tổng hợp'!$B:$BB,43,0),"")</f>
        <v>1050000</v>
      </c>
      <c r="AE57" s="240">
        <f>IFERROR(VLOOKUP($B57,'Bảng tổng hợp'!$B:$BB,44,0),"")</f>
        <v>0</v>
      </c>
      <c r="AF57" s="240">
        <f>IFERROR(VLOOKUP($B57,'Bảng tổng hợp'!$B:$BB,52,0),"")</f>
        <v>0</v>
      </c>
      <c r="AG57" s="240">
        <f>IFERROR(VLOOKUP($B57,'Bảng tổng hợp'!$B:$BB,48,0),"")</f>
        <v>15500000</v>
      </c>
      <c r="AH57" s="240">
        <f>IFERROR(VLOOKUP($B57,'Bảng tổng hợp'!$B:$BB,49,0),"")</f>
        <v>10480769</v>
      </c>
      <c r="AI57" s="240">
        <f>IFERROR(VLOOKUP($B57,'Bảng tổng hợp'!$B:$BB,50,0),"")</f>
        <v>0</v>
      </c>
      <c r="AJ57" s="240">
        <f>IFERROR(VLOOKUP($B57,'Bảng tổng hợp'!$B:$BB,51,0),"")</f>
        <v>0</v>
      </c>
      <c r="AK57" s="240">
        <f>IFERROR(VLOOKUP($B57,'Bảng tổng hợp'!$B:$BB,53,0),"")</f>
        <v>12498077</v>
      </c>
    </row>
    <row r="58" spans="1:37" s="241" customFormat="1" ht="39.75" customHeight="1" x14ac:dyDescent="0.25">
      <c r="A58" s="237">
        <v>38</v>
      </c>
      <c r="B58" s="238" t="str">
        <f>'Bảng tổng hợp'!B41</f>
        <v>NV042</v>
      </c>
      <c r="C58" s="239" t="str">
        <f>IFERROR(VLOOKUP($B58,'Bảng tổng hợp'!$B:$BB,2,0),"")</f>
        <v>Nguyễn Thị Ngọc</v>
      </c>
      <c r="D58" s="240" t="str">
        <f>IFERROR(VLOOKUP($B58,'Bảng tổng hợp'!$B:$BB,3,0),"")</f>
        <v>HĐTV</v>
      </c>
      <c r="E58" s="240" t="str">
        <f>IFERROR(VLOOKUP($B58,'Bảng tổng hợp'!$B:$BB,4,0),"")</f>
        <v>Nhân viên thử việc</v>
      </c>
      <c r="F58" s="240" t="str">
        <f>IFERROR(VLOOKUP($B58,'Bảng tổng hợp'!$B:$BB,5,0),"")</f>
        <v>Kế toán</v>
      </c>
      <c r="G58" s="240">
        <f>IFERROR(VLOOKUP($B58,'Bảng tổng hợp'!$B:$BB,7,0),"")</f>
        <v>7000000</v>
      </c>
      <c r="H58" s="240">
        <f>IFERROR(VLOOKUP($B58,'Bảng tổng hợp'!$B:$BB,8,0),"")</f>
        <v>1000000</v>
      </c>
      <c r="I58" s="240">
        <f>IFERROR(VLOOKUP($B58,'Bảng tổng hợp'!$B:$BB,9,0),"")</f>
        <v>1000000</v>
      </c>
      <c r="J58" s="240">
        <f>IFERROR(VLOOKUP($B58,'Bảng tổng hợp'!$B:$BB,10,0),"")</f>
        <v>500000</v>
      </c>
      <c r="K58" s="240">
        <f>IFERROR(VLOOKUP($B58,'Bảng tổng hợp'!$B:$BB,11,0),"")</f>
        <v>300000</v>
      </c>
      <c r="L58" s="240">
        <f>IFERROR(VLOOKUP($B58,'Bảng tổng hợp'!$B:$BB,12,0),"")</f>
        <v>400000</v>
      </c>
      <c r="M58" s="240">
        <f>IFERROR(VLOOKUP($B58,'Bảng tổng hợp'!$B:$BB,13,0),"")</f>
        <v>10200000</v>
      </c>
      <c r="N58" s="240" t="str">
        <f>IFERROR(VLOOKUP($B58,'Bảng tổng hợp'!$B:$BB,6,0),"")</f>
        <v/>
      </c>
      <c r="O58" s="314">
        <f>VLOOKUP(B58,'Bảng tổng hợp'!$B$4:$O$47,14,0)</f>
        <v>26</v>
      </c>
      <c r="P58" s="240">
        <f>VLOOKUP(B58,'Bảng tổng hợp'!$B$4:$AA$41,23,0)</f>
        <v>1000000</v>
      </c>
      <c r="Q58" s="240">
        <f>VLOOKUP(B58,'Bảng tổng hợp'!$B$4:$AA$41,24,0)</f>
        <v>500000</v>
      </c>
      <c r="R58" s="240">
        <f>VLOOKUP(B58,'Bảng tổng hợp'!$B$4:$AA$41,25,0)</f>
        <v>300000</v>
      </c>
      <c r="S58" s="240">
        <f>VLOOKUP(B58,'Bảng tổng hợp'!$B$4:$AA$41,26,0)</f>
        <v>0</v>
      </c>
      <c r="T58" s="240">
        <f>IFERROR(VLOOKUP($B58,'Bảng tổng hợp'!$B:$BB,15,0),"")</f>
        <v>0</v>
      </c>
      <c r="U58" s="240">
        <f>IFERROR(VLOOKUP($B58,'Bảng tổng hợp'!$B:$BB,16,0),"")</f>
        <v>0</v>
      </c>
      <c r="V58" s="314">
        <f>VLOOKUP($B58,'Bảng tổng hợp'!$B:$BB,17,0)</f>
        <v>2.9800000000000004</v>
      </c>
      <c r="W58" s="240">
        <f>IFERROR(VLOOKUP($B58,'Bảng tổng hợp'!$B:$BB,18,0),"")</f>
        <v>171923</v>
      </c>
      <c r="X58" s="314">
        <f>VLOOKUP($B58,'Bảng tổng hợp'!$B:$BB,19,0)</f>
        <v>0</v>
      </c>
      <c r="Y58" s="240">
        <f>IFERROR(VLOOKUP($B58,'Bảng tổng hợp'!$B:$BB,20,0),"")</f>
        <v>0</v>
      </c>
      <c r="Z58" s="240">
        <f>IFERROR(VLOOKUP($B58,'Bảng tổng hợp'!$B:$BB,27,0),"")</f>
        <v>0</v>
      </c>
      <c r="AA58" s="240">
        <f>IFERROR(VLOOKUP($B58,'Bảng tổng hợp'!$B:$BB,28,0),"")</f>
        <v>8771923</v>
      </c>
      <c r="AB58" s="240">
        <f>IFERROR(VLOOKUP($B58,'Bảng tổng hợp'!$B:$BB,38,0),"")</f>
        <v>0</v>
      </c>
      <c r="AC58" s="240">
        <f>IFERROR(VLOOKUP($B58,'Bảng tổng hợp'!$B:$BB,39,0),"")</f>
        <v>0</v>
      </c>
      <c r="AD58" s="240">
        <f>IFERROR(VLOOKUP($B58,'Bảng tổng hợp'!$B:$BB,43,0),"")</f>
        <v>0</v>
      </c>
      <c r="AE58" s="240">
        <f>IFERROR(VLOOKUP($B58,'Bảng tổng hợp'!$B:$BB,44,0),"")</f>
        <v>0</v>
      </c>
      <c r="AF58" s="240">
        <f>IFERROR(VLOOKUP($B58,'Bảng tổng hợp'!$B:$BB,52,0),"")</f>
        <v>0</v>
      </c>
      <c r="AG58" s="240">
        <f>IFERROR(VLOOKUP($B58,'Bảng tổng hợp'!$B:$BB,48,0),"")</f>
        <v>0</v>
      </c>
      <c r="AH58" s="240">
        <f>IFERROR(VLOOKUP($B58,'Bảng tổng hợp'!$B:$BB,49,0),"")</f>
        <v>8600000</v>
      </c>
      <c r="AI58" s="240">
        <f>IFERROR(VLOOKUP($B58,'Bảng tổng hợp'!$B:$BB,50,0),"")</f>
        <v>8600000</v>
      </c>
      <c r="AJ58" s="240">
        <f>IFERROR(VLOOKUP($B58,'Bảng tổng hợp'!$B:$BB,51,0),"")</f>
        <v>860000</v>
      </c>
      <c r="AK58" s="240">
        <f>IFERROR(VLOOKUP($B58,'Bảng tổng hợp'!$B:$BB,53,0),"")</f>
        <v>7911923</v>
      </c>
    </row>
    <row r="59" spans="1:37" s="246" customFormat="1" ht="24" customHeight="1" x14ac:dyDescent="0.25">
      <c r="A59" s="242" t="s">
        <v>291</v>
      </c>
      <c r="B59" s="243"/>
      <c r="C59" s="244"/>
      <c r="D59" s="245"/>
      <c r="E59" s="245"/>
      <c r="F59" s="245"/>
      <c r="G59" s="245">
        <f>SUM(G60:G61)</f>
        <v>13000000</v>
      </c>
      <c r="H59" s="245">
        <f t="shared" ref="H59:AK59" si="32">SUM(H60:H61)</f>
        <v>2000000</v>
      </c>
      <c r="I59" s="245">
        <f t="shared" si="32"/>
        <v>2000000</v>
      </c>
      <c r="J59" s="245">
        <f t="shared" si="32"/>
        <v>1000000</v>
      </c>
      <c r="K59" s="245">
        <f t="shared" si="32"/>
        <v>800000</v>
      </c>
      <c r="L59" s="245">
        <f t="shared" si="32"/>
        <v>800000</v>
      </c>
      <c r="M59" s="245">
        <f t="shared" si="32"/>
        <v>19600000</v>
      </c>
      <c r="N59" s="245">
        <f t="shared" si="32"/>
        <v>0</v>
      </c>
      <c r="O59" s="245">
        <f t="shared" si="32"/>
        <v>28</v>
      </c>
      <c r="P59" s="245">
        <f>SUM(P60:P61)</f>
        <v>1076923.076923077</v>
      </c>
      <c r="Q59" s="245">
        <f t="shared" si="32"/>
        <v>538461.5384615385</v>
      </c>
      <c r="R59" s="245">
        <f t="shared" si="32"/>
        <v>430769.23076923075</v>
      </c>
      <c r="S59" s="245">
        <f t="shared" si="32"/>
        <v>0</v>
      </c>
      <c r="T59" s="245">
        <f t="shared" si="32"/>
        <v>0</v>
      </c>
      <c r="U59" s="245">
        <f t="shared" si="32"/>
        <v>0</v>
      </c>
      <c r="V59" s="245">
        <f t="shared" si="32"/>
        <v>0</v>
      </c>
      <c r="W59" s="245">
        <f t="shared" si="32"/>
        <v>0</v>
      </c>
      <c r="X59" s="245"/>
      <c r="Y59" s="245"/>
      <c r="Z59" s="245">
        <f t="shared" si="32"/>
        <v>0</v>
      </c>
      <c r="AA59" s="245">
        <f t="shared" si="32"/>
        <v>8911538.4615384601</v>
      </c>
      <c r="AB59" s="245">
        <f t="shared" si="32"/>
        <v>0</v>
      </c>
      <c r="AC59" s="245">
        <f t="shared" si="32"/>
        <v>0</v>
      </c>
      <c r="AD59" s="245">
        <f t="shared" si="32"/>
        <v>0</v>
      </c>
      <c r="AE59" s="245">
        <f t="shared" si="32"/>
        <v>0</v>
      </c>
      <c r="AF59" s="245">
        <f t="shared" si="32"/>
        <v>0</v>
      </c>
      <c r="AG59" s="245">
        <f t="shared" si="32"/>
        <v>0</v>
      </c>
      <c r="AH59" s="245">
        <f t="shared" si="32"/>
        <v>8911538</v>
      </c>
      <c r="AI59" s="245">
        <f t="shared" si="32"/>
        <v>8911538</v>
      </c>
      <c r="AJ59" s="245">
        <f t="shared" si="32"/>
        <v>891154</v>
      </c>
      <c r="AK59" s="245">
        <f t="shared" si="32"/>
        <v>8020384</v>
      </c>
    </row>
    <row r="60" spans="1:37" s="241" customFormat="1" ht="39.75" customHeight="1" x14ac:dyDescent="0.25">
      <c r="A60" s="237">
        <v>39</v>
      </c>
      <c r="B60" s="238" t="str">
        <f>'Bảng tổng hợp'!B42</f>
        <v>NV043</v>
      </c>
      <c r="C60" s="239" t="str">
        <f>IFERROR(VLOOKUP($B60,'Bảng tổng hợp'!$B:$BB,2,0),"")</f>
        <v>Lê Ái Như</v>
      </c>
      <c r="D60" s="240" t="str">
        <f>IFERROR(VLOOKUP($B60,'Bảng tổng hợp'!$B:$BB,3,0),"")</f>
        <v>HĐTV</v>
      </c>
      <c r="E60" s="240" t="str">
        <f>IFERROR(VLOOKUP($B60,'Bảng tổng hợp'!$B:$BB,4,0),"")</f>
        <v>Nhân viên thử việc</v>
      </c>
      <c r="F60" s="240" t="str">
        <f>IFERROR(VLOOKUP($B60,'Bảng tổng hợp'!$B:$BB,5,0),"")</f>
        <v>HCNS</v>
      </c>
      <c r="G60" s="240">
        <f>IFERROR(VLOOKUP($B60,'Bảng tổng hợp'!$B:$BB,7,0),"")</f>
        <v>6500000</v>
      </c>
      <c r="H60" s="240">
        <f>IFERROR(VLOOKUP($B60,'Bảng tổng hợp'!$B:$BB,8,0),"")</f>
        <v>1000000</v>
      </c>
      <c r="I60" s="240">
        <f>IFERROR(VLOOKUP($B60,'Bảng tổng hợp'!$B:$BB,9,0),"")</f>
        <v>1000000</v>
      </c>
      <c r="J60" s="240">
        <f>IFERROR(VLOOKUP($B60,'Bảng tổng hợp'!$B:$BB,10,0),"")</f>
        <v>500000</v>
      </c>
      <c r="K60" s="240">
        <f>IFERROR(VLOOKUP($B60,'Bảng tổng hợp'!$B:$BB,11,0),"")</f>
        <v>400000</v>
      </c>
      <c r="L60" s="240">
        <f>IFERROR(VLOOKUP($B60,'Bảng tổng hợp'!$B:$BB,12,0),"")</f>
        <v>400000</v>
      </c>
      <c r="M60" s="240">
        <f>IFERROR(VLOOKUP($B60,'Bảng tổng hợp'!$B:$BB,13,0),"")</f>
        <v>9800000</v>
      </c>
      <c r="N60" s="240">
        <f>IFERROR(VLOOKUP($B60,'Bảng tổng hợp'!$B:$BB,6,0),"")</f>
        <v>0</v>
      </c>
      <c r="O60" s="314">
        <f>VLOOKUP(B60,'Bảng tổng hợp'!$B$4:$O$47,14,0)</f>
        <v>14</v>
      </c>
      <c r="P60" s="240">
        <f>VLOOKUP(B60,'Bảng tổng hợp'!$B$4:$AA$43,23,0)</f>
        <v>538461.5384615385</v>
      </c>
      <c r="Q60" s="240">
        <f>VLOOKUP(B60,'Bảng tổng hợp'!$B$4:$AA$43,24,0)</f>
        <v>269230.76923076925</v>
      </c>
      <c r="R60" s="240">
        <f>VLOOKUP(B60,'Bảng tổng hợp'!$B$4:$AA$43,25,0)</f>
        <v>215384.61538461538</v>
      </c>
      <c r="S60" s="240">
        <f>VLOOKUP(B60,'Bảng tổng hợp'!$B$4:$AA$43,26,0)</f>
        <v>0</v>
      </c>
      <c r="T60" s="240">
        <f>IFERROR(VLOOKUP($B60,'Bảng tổng hợp'!$B:$BB,15,0),"")</f>
        <v>0</v>
      </c>
      <c r="U60" s="240">
        <f>IFERROR(VLOOKUP($B60,'Bảng tổng hợp'!$B:$BB,16,0),"")</f>
        <v>0</v>
      </c>
      <c r="V60" s="314">
        <f>VLOOKUP($B60,'Bảng tổng hợp'!$B:$BB,17,0)</f>
        <v>0</v>
      </c>
      <c r="W60" s="240">
        <f>IFERROR(VLOOKUP($B60,'Bảng tổng hợp'!$B:$BB,18,0),"")</f>
        <v>0</v>
      </c>
      <c r="X60" s="314">
        <f>VLOOKUP($B60,'Bảng tổng hợp'!$B:$BB,19,0)</f>
        <v>0</v>
      </c>
      <c r="Y60" s="240">
        <f>IFERROR(VLOOKUP($B60,'Bảng tổng hợp'!$B:$BB,20,0),"")</f>
        <v>0</v>
      </c>
      <c r="Z60" s="240">
        <f>IFERROR(VLOOKUP($B60,'Bảng tổng hợp'!$B:$BB,27,0),"")</f>
        <v>0</v>
      </c>
      <c r="AA60" s="240">
        <f>IFERROR(VLOOKUP($B60,'Bảng tổng hợp'!$B:$BB,28,0),"")</f>
        <v>4455769.2307692301</v>
      </c>
      <c r="AB60" s="240">
        <f>IFERROR(VLOOKUP($B60,'Bảng tổng hợp'!$B:$BB,38,0),"")</f>
        <v>0</v>
      </c>
      <c r="AC60" s="240">
        <f>IFERROR(VLOOKUP($B60,'Bảng tổng hợp'!$B:$BB,39,0),"")</f>
        <v>0</v>
      </c>
      <c r="AD60" s="240">
        <f>IFERROR(VLOOKUP($B60,'Bảng tổng hợp'!$B:$BB,43,0),"")</f>
        <v>0</v>
      </c>
      <c r="AE60" s="240">
        <f>IFERROR(VLOOKUP($B60,'Bảng tổng hợp'!$B:$BB,44,0),"")</f>
        <v>0</v>
      </c>
      <c r="AF60" s="240">
        <f>IFERROR(VLOOKUP($B60,'Bảng tổng hợp'!$B:$BB,52,0),"")</f>
        <v>0</v>
      </c>
      <c r="AG60" s="240">
        <f>IFERROR(VLOOKUP($B60,'Bảng tổng hợp'!$B:$BB,48,0),"")</f>
        <v>0</v>
      </c>
      <c r="AH60" s="240">
        <f>IFERROR(VLOOKUP($B60,'Bảng tổng hợp'!$B:$BB,49,0),"")</f>
        <v>4455769</v>
      </c>
      <c r="AI60" s="240">
        <f>IFERROR(VLOOKUP($B60,'Bảng tổng hợp'!$B:$BB,50,0),"")</f>
        <v>4455769</v>
      </c>
      <c r="AJ60" s="240">
        <f>IFERROR(VLOOKUP($B60,'Bảng tổng hợp'!$B:$BB,51,0),"")</f>
        <v>445577</v>
      </c>
      <c r="AK60" s="240">
        <f>IFERROR(VLOOKUP($B60,'Bảng tổng hợp'!$B:$BB,53,0),"")</f>
        <v>4010192</v>
      </c>
    </row>
    <row r="61" spans="1:37" s="241" customFormat="1" ht="39.75" customHeight="1" x14ac:dyDescent="0.25">
      <c r="A61" s="237">
        <v>40</v>
      </c>
      <c r="B61" s="238" t="str">
        <f>'Bảng tổng hợp'!B43</f>
        <v>NV044</v>
      </c>
      <c r="C61" s="239" t="str">
        <f>IFERROR(VLOOKUP($B61,'Bảng tổng hợp'!$B:$BB,2,0),"")</f>
        <v>Ỳ Khố Lệ</v>
      </c>
      <c r="D61" s="240" t="str">
        <f>IFERROR(VLOOKUP($B61,'Bảng tổng hợp'!$B:$BB,3,0),"")</f>
        <v>HĐTV</v>
      </c>
      <c r="E61" s="240" t="str">
        <f>IFERROR(VLOOKUP($B61,'Bảng tổng hợp'!$B:$BB,4,0),"")</f>
        <v>Nhân viên thử việc</v>
      </c>
      <c r="F61" s="240" t="str">
        <f>IFERROR(VLOOKUP($B61,'Bảng tổng hợp'!$B:$BB,5,0),"")</f>
        <v>HCNS</v>
      </c>
      <c r="G61" s="240">
        <f>IFERROR(VLOOKUP($B61,'Bảng tổng hợp'!$B:$BB,7,0),"")</f>
        <v>6500000</v>
      </c>
      <c r="H61" s="240">
        <f>IFERROR(VLOOKUP($B61,'Bảng tổng hợp'!$B:$BB,8,0),"")</f>
        <v>1000000</v>
      </c>
      <c r="I61" s="240">
        <f>IFERROR(VLOOKUP($B61,'Bảng tổng hợp'!$B:$BB,9,0),"")</f>
        <v>1000000</v>
      </c>
      <c r="J61" s="240">
        <f>IFERROR(VLOOKUP($B61,'Bảng tổng hợp'!$B:$BB,10,0),"")</f>
        <v>500000</v>
      </c>
      <c r="K61" s="240">
        <f>IFERROR(VLOOKUP($B61,'Bảng tổng hợp'!$B:$BB,11,0),"")</f>
        <v>400000</v>
      </c>
      <c r="L61" s="240">
        <f>IFERROR(VLOOKUP($B61,'Bảng tổng hợp'!$B:$BB,12,0),"")</f>
        <v>400000</v>
      </c>
      <c r="M61" s="240">
        <f>IFERROR(VLOOKUP($B61,'Bảng tổng hợp'!$B:$BB,13,0),"")</f>
        <v>9800000</v>
      </c>
      <c r="N61" s="240">
        <f>IFERROR(VLOOKUP($B61,'Bảng tổng hợp'!$B:$BB,6,0),"")</f>
        <v>0</v>
      </c>
      <c r="O61" s="314">
        <f>VLOOKUP(B61,'Bảng tổng hợp'!$B$4:$O$47,14,0)</f>
        <v>14</v>
      </c>
      <c r="P61" s="240">
        <f>VLOOKUP(B61,'Bảng tổng hợp'!$B$4:$AA$43,23,0)</f>
        <v>538461.5384615385</v>
      </c>
      <c r="Q61" s="240">
        <f>VLOOKUP(B61,'Bảng tổng hợp'!$B$4:$AA$43,24,0)</f>
        <v>269230.76923076925</v>
      </c>
      <c r="R61" s="240">
        <f>VLOOKUP(B61,'Bảng tổng hợp'!$B$4:$AA$43,25,0)</f>
        <v>215384.61538461538</v>
      </c>
      <c r="S61" s="240">
        <f>VLOOKUP(B61,'Bảng tổng hợp'!$B$4:$AA$43,26,0)</f>
        <v>0</v>
      </c>
      <c r="T61" s="240">
        <f>IFERROR(VLOOKUP($B61,'Bảng tổng hợp'!$B:$BB,15,0),"")</f>
        <v>0</v>
      </c>
      <c r="U61" s="240">
        <f>IFERROR(VLOOKUP($B61,'Bảng tổng hợp'!$B:$BB,16,0),"")</f>
        <v>0</v>
      </c>
      <c r="V61" s="314">
        <f>VLOOKUP($B61,'Bảng tổng hợp'!$B:$BB,17,0)</f>
        <v>0</v>
      </c>
      <c r="W61" s="240">
        <f>IFERROR(VLOOKUP($B61,'Bảng tổng hợp'!$B:$BB,18,0),"")</f>
        <v>0</v>
      </c>
      <c r="X61" s="314">
        <f>VLOOKUP($B61,'Bảng tổng hợp'!$B:$BB,19,0)</f>
        <v>0</v>
      </c>
      <c r="Y61" s="240">
        <f>IFERROR(VLOOKUP($B61,'Bảng tổng hợp'!$B:$BB,20,0),"")</f>
        <v>0</v>
      </c>
      <c r="Z61" s="240">
        <f>IFERROR(VLOOKUP($B61,'Bảng tổng hợp'!$B:$BB,27,0),"")</f>
        <v>0</v>
      </c>
      <c r="AA61" s="240">
        <f>IFERROR(VLOOKUP($B61,'Bảng tổng hợp'!$B:$BB,28,0),"")</f>
        <v>4455769.2307692301</v>
      </c>
      <c r="AB61" s="240">
        <f>IFERROR(VLOOKUP($B61,'Bảng tổng hợp'!$B:$BB,38,0),"")</f>
        <v>0</v>
      </c>
      <c r="AC61" s="240">
        <f>IFERROR(VLOOKUP($B61,'Bảng tổng hợp'!$B:$BB,39,0),"")</f>
        <v>0</v>
      </c>
      <c r="AD61" s="240">
        <f>IFERROR(VLOOKUP($B61,'Bảng tổng hợp'!$B:$BB,43,0),"")</f>
        <v>0</v>
      </c>
      <c r="AE61" s="240">
        <f>IFERROR(VLOOKUP($B61,'Bảng tổng hợp'!$B:$BB,44,0),"")</f>
        <v>0</v>
      </c>
      <c r="AF61" s="240">
        <f>IFERROR(VLOOKUP($B61,'Bảng tổng hợp'!$B:$BB,52,0),"")</f>
        <v>0</v>
      </c>
      <c r="AG61" s="240">
        <f>IFERROR(VLOOKUP($B61,'Bảng tổng hợp'!$B:$BB,48,0),"")</f>
        <v>0</v>
      </c>
      <c r="AH61" s="240">
        <f>IFERROR(VLOOKUP($B61,'Bảng tổng hợp'!$B:$BB,49,0),"")</f>
        <v>4455769</v>
      </c>
      <c r="AI61" s="240">
        <f>IFERROR(VLOOKUP($B61,'Bảng tổng hợp'!$B:$BB,50,0),"")</f>
        <v>4455769</v>
      </c>
      <c r="AJ61" s="240">
        <f>IFERROR(VLOOKUP($B61,'Bảng tổng hợp'!$B:$BB,51,0),"")</f>
        <v>445577</v>
      </c>
      <c r="AK61" s="240">
        <f>IFERROR(VLOOKUP($B61,'Bảng tổng hợp'!$B:$BB,53,0),"")</f>
        <v>4010192</v>
      </c>
    </row>
    <row r="62" spans="1:37" s="248" customFormat="1" ht="39.75" customHeight="1" x14ac:dyDescent="0.25">
      <c r="A62" s="420" t="s">
        <v>88</v>
      </c>
      <c r="B62" s="421"/>
      <c r="C62" s="421"/>
      <c r="D62" s="421"/>
      <c r="E62" s="421"/>
      <c r="F62" s="422"/>
      <c r="G62" s="247">
        <f t="shared" ref="G62:AK62" si="33">G15+G18+G27+G34+G53+G55+G59</f>
        <v>282000000</v>
      </c>
      <c r="H62" s="247">
        <f t="shared" si="33"/>
        <v>32500000</v>
      </c>
      <c r="I62" s="247">
        <f t="shared" si="33"/>
        <v>50200000</v>
      </c>
      <c r="J62" s="247">
        <f t="shared" si="33"/>
        <v>20000000</v>
      </c>
      <c r="K62" s="247">
        <f t="shared" si="33"/>
        <v>19800000</v>
      </c>
      <c r="L62" s="247">
        <f t="shared" si="33"/>
        <v>15900000</v>
      </c>
      <c r="M62" s="247">
        <f t="shared" si="33"/>
        <v>420400000</v>
      </c>
      <c r="N62" s="247">
        <f t="shared" si="33"/>
        <v>291500000</v>
      </c>
      <c r="O62" s="327">
        <f t="shared" si="33"/>
        <v>980.5</v>
      </c>
      <c r="P62" s="247">
        <f t="shared" si="33"/>
        <v>47476923.07692308</v>
      </c>
      <c r="Q62" s="247">
        <f t="shared" si="33"/>
        <v>18817307.692307696</v>
      </c>
      <c r="R62" s="247">
        <f t="shared" si="33"/>
        <v>18967307.692307692</v>
      </c>
      <c r="S62" s="247">
        <f t="shared" si="33"/>
        <v>14700000</v>
      </c>
      <c r="T62" s="247">
        <f t="shared" si="33"/>
        <v>23</v>
      </c>
      <c r="U62" s="247">
        <f t="shared" si="33"/>
        <v>6461538.4615384629</v>
      </c>
      <c r="V62" s="327">
        <f t="shared" si="33"/>
        <v>624.27799999999991</v>
      </c>
      <c r="W62" s="247">
        <f t="shared" si="33"/>
        <v>33107225</v>
      </c>
      <c r="X62" s="247">
        <f t="shared" si="33"/>
        <v>72.58</v>
      </c>
      <c r="Y62" s="247">
        <f t="shared" si="33"/>
        <v>5115964</v>
      </c>
      <c r="Z62" s="247">
        <f t="shared" si="33"/>
        <v>800000</v>
      </c>
      <c r="AA62" s="247">
        <f t="shared" si="33"/>
        <v>440332804.3846153</v>
      </c>
      <c r="AB62" s="247">
        <f t="shared" si="33"/>
        <v>62672500</v>
      </c>
      <c r="AC62" s="247">
        <f t="shared" si="33"/>
        <v>5830000</v>
      </c>
      <c r="AD62" s="247">
        <f t="shared" si="33"/>
        <v>30607500</v>
      </c>
      <c r="AE62" s="247">
        <f t="shared" si="33"/>
        <v>0</v>
      </c>
      <c r="AF62" s="247">
        <f t="shared" si="33"/>
        <v>0</v>
      </c>
      <c r="AG62" s="247">
        <f t="shared" si="33"/>
        <v>573500000</v>
      </c>
      <c r="AH62" s="247">
        <f t="shared" si="33"/>
        <v>324467689</v>
      </c>
      <c r="AI62" s="247">
        <f t="shared" si="33"/>
        <v>18121538</v>
      </c>
      <c r="AJ62" s="247">
        <f t="shared" si="33"/>
        <v>1781654</v>
      </c>
      <c r="AK62" s="247">
        <f t="shared" si="33"/>
        <v>407943649</v>
      </c>
    </row>
    <row r="63" spans="1:37" x14ac:dyDescent="0.25">
      <c r="P63" s="37">
        <f>P62-'Bảng tổng hợp'!X47</f>
        <v>0</v>
      </c>
      <c r="Q63" s="37">
        <f>Q62-'Bảng tổng hợp'!Y47</f>
        <v>0</v>
      </c>
      <c r="R63" s="37">
        <f>R62-'Bảng tổng hợp'!Z47</f>
        <v>0</v>
      </c>
      <c r="S63" s="37">
        <f>S62-'Bảng tổng hợp'!AA47</f>
        <v>0</v>
      </c>
      <c r="U63" s="32">
        <f>'Bảng tổng hợp'!Q47-U62</f>
        <v>0</v>
      </c>
      <c r="W63" s="32">
        <f>W62-'Bảng tổng hợp'!S47</f>
        <v>0</v>
      </c>
      <c r="Z63" s="32">
        <f>Z62-'Bảng tổng hợp'!AB47</f>
        <v>0</v>
      </c>
      <c r="AA63" s="32">
        <f>AA62-'Bảng tổng hợp'!AC47</f>
        <v>0</v>
      </c>
      <c r="AB63" s="32">
        <f>AB62-'Bảng tổng hợp'!AM47</f>
        <v>0</v>
      </c>
      <c r="AD63" s="32">
        <f>AD62-'Bảng tổng hợp'!AR47</f>
        <v>0</v>
      </c>
      <c r="AG63" s="32">
        <f>AG62-'Bảng tổng hợp'!AW47</f>
        <v>0</v>
      </c>
      <c r="AH63" s="32">
        <f>AH62-'Bảng tổng hợp'!AX47</f>
        <v>0</v>
      </c>
      <c r="AI63" s="32">
        <f>AI62-'Bảng tổng hợp'!AY47</f>
        <v>0</v>
      </c>
      <c r="AJ63" s="32">
        <f>AJ62-'Bảng tổng hợp'!AZ47</f>
        <v>0</v>
      </c>
      <c r="AK63" s="32">
        <f>AK62-'Bảng tổng hợp'!BB47</f>
        <v>0</v>
      </c>
    </row>
    <row r="64" spans="1:37" s="250" customFormat="1" ht="20.25" x14ac:dyDescent="0.25">
      <c r="C64" s="54"/>
      <c r="D64" s="165"/>
      <c r="E64" s="250" t="s">
        <v>294</v>
      </c>
      <c r="O64" s="251" t="s">
        <v>295</v>
      </c>
      <c r="S64" s="251"/>
      <c r="T64" s="251"/>
      <c r="AD64" s="424" t="s">
        <v>112</v>
      </c>
      <c r="AE64" s="424"/>
      <c r="AF64" s="424"/>
      <c r="AG64" s="424"/>
      <c r="AH64" s="424"/>
      <c r="AI64" s="424"/>
    </row>
    <row r="65" spans="1:35" x14ac:dyDescent="0.25">
      <c r="Q65" s="32"/>
      <c r="R65" s="32"/>
      <c r="T65" s="37"/>
    </row>
    <row r="66" spans="1:35" x14ac:dyDescent="0.25">
      <c r="Q66" s="32"/>
      <c r="R66" s="32"/>
      <c r="T66" s="37"/>
    </row>
    <row r="67" spans="1:35" x14ac:dyDescent="0.25">
      <c r="Q67" s="32"/>
      <c r="R67" s="32"/>
      <c r="T67" s="37"/>
    </row>
    <row r="68" spans="1:35" x14ac:dyDescent="0.25">
      <c r="Q68" s="32"/>
      <c r="R68" s="32"/>
      <c r="T68" s="37"/>
    </row>
    <row r="69" spans="1:35" x14ac:dyDescent="0.25">
      <c r="Q69" s="32"/>
      <c r="R69" s="32"/>
      <c r="T69" s="37"/>
    </row>
    <row r="70" spans="1:35" x14ac:dyDescent="0.25">
      <c r="Q70" s="32"/>
      <c r="R70" s="32"/>
      <c r="T70" s="37"/>
    </row>
    <row r="71" spans="1:35" s="253" customFormat="1" ht="20.25" x14ac:dyDescent="0.3">
      <c r="A71" s="252"/>
      <c r="C71" s="254"/>
      <c r="D71" s="423"/>
      <c r="E71" s="423"/>
      <c r="F71" s="423"/>
      <c r="G71" s="423"/>
      <c r="H71" s="252"/>
      <c r="O71" s="315" t="s">
        <v>237</v>
      </c>
      <c r="P71" s="256"/>
      <c r="Q71" s="256"/>
      <c r="R71" s="255"/>
      <c r="S71" s="255"/>
      <c r="T71" s="255"/>
      <c r="AD71" s="423" t="s">
        <v>11</v>
      </c>
      <c r="AE71" s="423"/>
      <c r="AF71" s="423"/>
      <c r="AG71" s="423"/>
      <c r="AH71" s="423"/>
      <c r="AI71" s="423"/>
    </row>
    <row r="72" spans="1:35" ht="15.75" customHeight="1" x14ac:dyDescent="0.3">
      <c r="E72" s="249"/>
      <c r="F72" s="249"/>
      <c r="G72" s="249"/>
      <c r="H72" s="249"/>
    </row>
  </sheetData>
  <mergeCells count="31">
    <mergeCell ref="AD8:AE8"/>
    <mergeCell ref="AG8:AH8"/>
    <mergeCell ref="A12:A13"/>
    <mergeCell ref="B12:B13"/>
    <mergeCell ref="C12:C13"/>
    <mergeCell ref="E12:E13"/>
    <mergeCell ref="D12:D13"/>
    <mergeCell ref="M12:M13"/>
    <mergeCell ref="N12:N13"/>
    <mergeCell ref="O12:O13"/>
    <mergeCell ref="T12:U12"/>
    <mergeCell ref="Z12:Z13"/>
    <mergeCell ref="G12:H12"/>
    <mergeCell ref="I12:L12"/>
    <mergeCell ref="AA12:AA13"/>
    <mergeCell ref="F12:F13"/>
    <mergeCell ref="AK12:AK13"/>
    <mergeCell ref="AB12:AC12"/>
    <mergeCell ref="AD12:AE12"/>
    <mergeCell ref="AF12:AF13"/>
    <mergeCell ref="AG12:AG13"/>
    <mergeCell ref="AH12:AH13"/>
    <mergeCell ref="AI12:AI13"/>
    <mergeCell ref="V12:W12"/>
    <mergeCell ref="AJ12:AJ13"/>
    <mergeCell ref="P12:S12"/>
    <mergeCell ref="A62:F62"/>
    <mergeCell ref="D71:G71"/>
    <mergeCell ref="X12:Y12"/>
    <mergeCell ref="AD64:AI64"/>
    <mergeCell ref="AD71:AI71"/>
  </mergeCells>
  <conditionalFormatting sqref="B15">
    <cfRule type="duplicateValues" dxfId="2" priority="2"/>
  </conditionalFormatting>
  <pageMargins left="0.2" right="0" top="0.36" bottom="0" header="0" footer="0"/>
  <pageSetup paperSize="9" scale="3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0AB457D-0FF0-4821-8678-99FE03B62C3E}">
            <xm:f>'Bảng tổng hợp'!$BB$47</xm:f>
            <x14:dxf>
              <fill>
                <patternFill>
                  <bgColor theme="8" tint="0.79998168889431442"/>
                </patternFill>
              </fill>
            </x14:dxf>
          </x14:cfRule>
          <xm:sqref>AK62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U24"/>
  <sheetViews>
    <sheetView tabSelected="1" topLeftCell="B1" zoomScaleNormal="100" workbookViewId="0">
      <selection activeCell="G19" sqref="G19"/>
    </sheetView>
  </sheetViews>
  <sheetFormatPr defaultColWidth="9.140625" defaultRowHeight="15.75" x14ac:dyDescent="0.25"/>
  <cols>
    <col min="1" max="1" width="8.7109375" style="8" customWidth="1"/>
    <col min="2" max="2" width="26.5703125" style="5" bestFit="1" customWidth="1"/>
    <col min="3" max="3" width="11.5703125" style="5" customWidth="1"/>
    <col min="4" max="4" width="17.5703125" style="6" customWidth="1"/>
    <col min="5" max="5" width="18.5703125" style="6" customWidth="1"/>
    <col min="6" max="6" width="19.140625" style="6" customWidth="1"/>
    <col min="7" max="7" width="16.28515625" style="6" customWidth="1"/>
    <col min="8" max="8" width="18.140625" style="6" customWidth="1"/>
    <col min="9" max="9" width="18" style="6" customWidth="1"/>
    <col min="10" max="11" width="14.140625" style="6" customWidth="1"/>
    <col min="12" max="12" width="27.42578125" style="6" customWidth="1"/>
    <col min="13" max="13" width="28.85546875" style="6" customWidth="1"/>
    <col min="14" max="14" width="22.140625" style="6" customWidth="1"/>
    <col min="15" max="22" width="14.140625" style="6" customWidth="1"/>
    <col min="23" max="24" width="12.7109375" style="6" bestFit="1" customWidth="1"/>
    <col min="25" max="25" width="11.5703125" style="6" bestFit="1" customWidth="1"/>
    <col min="26" max="26" width="12.7109375" style="6" bestFit="1" customWidth="1"/>
    <col min="27" max="27" width="11.28515625" style="6" bestFit="1" customWidth="1"/>
    <col min="28" max="28" width="14" style="6" bestFit="1" customWidth="1"/>
    <col min="29" max="29" width="12.28515625" style="6" bestFit="1" customWidth="1"/>
    <col min="30" max="31" width="14" style="6" bestFit="1" customWidth="1"/>
    <col min="32" max="32" width="11.5703125" bestFit="1" customWidth="1"/>
    <col min="33" max="33" width="13.140625" style="7" customWidth="1"/>
    <col min="34" max="34" width="12.7109375" style="7" bestFit="1" customWidth="1"/>
    <col min="35" max="35" width="14" style="5" bestFit="1" customWidth="1"/>
    <col min="36" max="91" width="12.7109375" style="5" customWidth="1"/>
    <col min="92" max="991" width="13.85546875" style="5" customWidth="1"/>
    <col min="992" max="9991" width="15" style="5" customWidth="1"/>
    <col min="9992" max="16384" width="16.140625" style="5" customWidth="1"/>
  </cols>
  <sheetData>
    <row r="1" spans="1:38 16375:16375" ht="16.5" x14ac:dyDescent="0.25">
      <c r="A1" s="320" t="s">
        <v>172</v>
      </c>
    </row>
    <row r="2" spans="1:38 16375:16375" s="48" customFormat="1" ht="20.25" x14ac:dyDescent="0.3">
      <c r="A2" s="320" t="s">
        <v>90</v>
      </c>
      <c r="B2" s="41"/>
      <c r="C2" s="42"/>
      <c r="D2" s="42"/>
      <c r="E2" s="43"/>
      <c r="F2" s="44"/>
      <c r="G2" s="45"/>
      <c r="H2" s="45"/>
      <c r="I2" s="45"/>
      <c r="J2" s="46"/>
      <c r="K2" s="46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4"/>
      <c r="AK2" s="47"/>
      <c r="AL2" s="44"/>
    </row>
    <row r="3" spans="1:38 16375:16375" s="48" customFormat="1" ht="20.25" x14ac:dyDescent="0.3">
      <c r="A3" s="320" t="s">
        <v>1</v>
      </c>
      <c r="B3" s="49"/>
      <c r="C3" s="42"/>
      <c r="D3" s="42"/>
      <c r="E3" s="43"/>
      <c r="F3" s="44"/>
      <c r="G3" s="45"/>
      <c r="H3" s="45"/>
      <c r="I3" s="45"/>
      <c r="J3" s="46"/>
      <c r="K3" s="46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4"/>
      <c r="AK3" s="47"/>
      <c r="AL3" s="44"/>
    </row>
    <row r="4" spans="1:38 16375:16375" s="48" customFormat="1" ht="20.25" x14ac:dyDescent="0.3">
      <c r="A4" s="145"/>
      <c r="B4" s="49"/>
      <c r="C4" s="42"/>
      <c r="D4" s="42"/>
      <c r="E4" s="43"/>
      <c r="F4" s="44"/>
      <c r="G4" s="45"/>
      <c r="H4" s="45"/>
      <c r="I4" s="45"/>
      <c r="J4" s="46"/>
      <c r="K4" s="46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4"/>
      <c r="AK4" s="47"/>
      <c r="AL4" s="44"/>
    </row>
    <row r="5" spans="1:38 16375:16375" s="3" customFormat="1" ht="20.25" x14ac:dyDescent="0.25">
      <c r="A5" s="436" t="s">
        <v>323</v>
      </c>
      <c r="B5" s="436"/>
      <c r="C5" s="436"/>
      <c r="D5" s="436"/>
      <c r="E5" s="436"/>
      <c r="F5" s="436"/>
      <c r="G5" s="436"/>
      <c r="H5" s="436"/>
      <c r="I5" s="436"/>
      <c r="J5" s="53"/>
      <c r="K5" s="13"/>
      <c r="L5" s="18"/>
      <c r="M5" s="18"/>
      <c r="N5" s="18"/>
      <c r="O5" s="18"/>
      <c r="P5" s="17"/>
      <c r="Q5" s="19"/>
      <c r="R5" s="20"/>
      <c r="S5" s="21"/>
      <c r="T5" s="19"/>
      <c r="U5" s="22"/>
      <c r="V5" s="21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5"/>
      <c r="AK5" s="23"/>
      <c r="AL5" s="15"/>
    </row>
    <row r="6" spans="1:38 16375:16375" s="3" customFormat="1" ht="18.75" x14ac:dyDescent="0.25">
      <c r="A6" s="34"/>
      <c r="B6" s="14"/>
      <c r="C6" s="38"/>
      <c r="D6" s="18"/>
      <c r="E6" s="134" t="s">
        <v>347</v>
      </c>
      <c r="F6" s="134"/>
      <c r="G6" s="36"/>
      <c r="H6" s="18"/>
      <c r="I6" s="18"/>
      <c r="J6" s="33"/>
      <c r="K6" s="21"/>
      <c r="L6" s="18"/>
      <c r="M6" s="18"/>
      <c r="N6" s="18"/>
      <c r="O6" s="18"/>
      <c r="P6" s="17"/>
      <c r="Q6" s="430"/>
      <c r="R6" s="430"/>
      <c r="S6" s="24"/>
      <c r="T6" s="430"/>
      <c r="U6" s="430"/>
      <c r="V6" s="24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5"/>
      <c r="AK6" s="23"/>
      <c r="AL6" s="15"/>
    </row>
    <row r="7" spans="1:38 16375:16375" s="32" customFormat="1" ht="18.75" x14ac:dyDescent="0.3">
      <c r="A7" s="35"/>
      <c r="C7" s="39"/>
      <c r="F7" s="438"/>
      <c r="G7" s="438"/>
      <c r="J7" s="24"/>
      <c r="K7" s="24"/>
      <c r="P7" s="6"/>
      <c r="Q7" s="6"/>
      <c r="R7" s="6"/>
      <c r="S7" s="6"/>
      <c r="T7" s="6"/>
      <c r="U7" s="6"/>
      <c r="V7" s="6"/>
      <c r="W7" s="6"/>
    </row>
    <row r="8" spans="1:38 16375:16375" x14ac:dyDescent="0.25">
      <c r="H8" s="439" t="s">
        <v>321</v>
      </c>
      <c r="I8" s="439"/>
    </row>
    <row r="9" spans="1:38 16375:16375" s="1" customFormat="1" ht="57.75" customHeight="1" x14ac:dyDescent="0.25">
      <c r="A9" s="151" t="s">
        <v>2</v>
      </c>
      <c r="B9" s="152" t="s">
        <v>4</v>
      </c>
      <c r="C9" s="152" t="s">
        <v>62</v>
      </c>
      <c r="D9" s="153" t="s">
        <v>173</v>
      </c>
      <c r="E9" s="153" t="s">
        <v>174</v>
      </c>
      <c r="F9" s="153" t="s">
        <v>175</v>
      </c>
      <c r="G9" s="154" t="s">
        <v>176</v>
      </c>
      <c r="H9" s="153" t="s">
        <v>177</v>
      </c>
      <c r="I9" s="154" t="s">
        <v>178</v>
      </c>
      <c r="L9" s="1">
        <v>143814653</v>
      </c>
      <c r="M9" s="108" t="s">
        <v>319</v>
      </c>
    </row>
    <row r="10" spans="1:38 16375:16375" s="4" customFormat="1" ht="16.5" x14ac:dyDescent="0.25">
      <c r="A10" s="155">
        <v>1</v>
      </c>
      <c r="B10" s="155">
        <v>2</v>
      </c>
      <c r="C10" s="155">
        <v>3</v>
      </c>
      <c r="D10" s="155">
        <v>4</v>
      </c>
      <c r="E10" s="155">
        <v>5</v>
      </c>
      <c r="F10" s="155">
        <v>6</v>
      </c>
      <c r="G10" s="155">
        <v>7</v>
      </c>
      <c r="H10" s="155">
        <v>8</v>
      </c>
      <c r="I10" s="155">
        <v>9</v>
      </c>
      <c r="L10" s="4" t="s">
        <v>235</v>
      </c>
      <c r="M10" s="4" t="s">
        <v>320</v>
      </c>
    </row>
    <row r="11" spans="1:38 16375:16375" s="140" customFormat="1" ht="16.5" x14ac:dyDescent="0.25">
      <c r="A11" s="158">
        <v>1</v>
      </c>
      <c r="B11" s="147" t="s">
        <v>166</v>
      </c>
      <c r="C11" s="148" t="s">
        <v>167</v>
      </c>
      <c r="D11" s="146">
        <v>52199014438</v>
      </c>
      <c r="E11" s="146">
        <v>52199014438</v>
      </c>
      <c r="F11" s="149">
        <v>7777778</v>
      </c>
      <c r="G11" s="150">
        <v>777778</v>
      </c>
      <c r="H11" s="149">
        <f>+F11-G11</f>
        <v>7000000</v>
      </c>
      <c r="I11" s="149" t="s">
        <v>179</v>
      </c>
      <c r="L11" s="140" t="s">
        <v>236</v>
      </c>
      <c r="M11" s="140" t="s">
        <v>248</v>
      </c>
    </row>
    <row r="12" spans="1:38 16375:16375" s="140" customFormat="1" ht="16.5" x14ac:dyDescent="0.25">
      <c r="A12" s="158">
        <v>2</v>
      </c>
      <c r="B12" s="147" t="s">
        <v>318</v>
      </c>
      <c r="C12" s="148" t="s">
        <v>317</v>
      </c>
      <c r="D12" s="146">
        <v>36199000358</v>
      </c>
      <c r="E12" s="146">
        <v>36199000358</v>
      </c>
      <c r="F12" s="370">
        <f>65600000/0.9</f>
        <v>72888888.888888881</v>
      </c>
      <c r="G12" s="371">
        <f>F12*0.1</f>
        <v>7288888.8888888881</v>
      </c>
      <c r="H12" s="370">
        <f>F12-G12</f>
        <v>65599999.999999993</v>
      </c>
      <c r="I12" s="149" t="s">
        <v>179</v>
      </c>
      <c r="J12" s="140" t="s">
        <v>356</v>
      </c>
    </row>
    <row r="13" spans="1:38 16375:16375" ht="16.5" x14ac:dyDescent="0.25">
      <c r="A13" s="158"/>
      <c r="B13" s="147"/>
      <c r="C13" s="156"/>
      <c r="D13" s="149"/>
      <c r="E13" s="149"/>
      <c r="F13" s="149"/>
      <c r="G13" s="149"/>
      <c r="H13" s="149"/>
      <c r="I13" s="14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8 16375:16375" s="11" customFormat="1" ht="16.5" x14ac:dyDescent="0.25">
      <c r="A14" s="159" t="s">
        <v>88</v>
      </c>
      <c r="B14" s="160"/>
      <c r="C14" s="160"/>
      <c r="D14" s="157"/>
      <c r="E14" s="157"/>
      <c r="F14" s="157">
        <f>SUM(F11:F13)</f>
        <v>80666666.888888881</v>
      </c>
      <c r="G14" s="157">
        <f t="shared" ref="G14:H14" si="0">SUM(G11:G13)</f>
        <v>8066666.8888888881</v>
      </c>
      <c r="H14" s="157">
        <f t="shared" si="0"/>
        <v>72600000</v>
      </c>
      <c r="I14" s="157">
        <f>SUBTOTAL(9,I11:I11)</f>
        <v>0</v>
      </c>
    </row>
    <row r="15" spans="1:38 16375:16375" x14ac:dyDescent="0.25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G15" s="5"/>
      <c r="AH15" s="5"/>
      <c r="XEU15" s="5">
        <f>SUBTOTAL(103,'Bảng TT CTV'!$XDU$9:$XFD$14)</f>
        <v>0</v>
      </c>
    </row>
    <row r="17" spans="2:9" x14ac:dyDescent="0.25">
      <c r="B17" s="321" t="s">
        <v>234</v>
      </c>
      <c r="D17" s="437" t="s">
        <v>322</v>
      </c>
      <c r="E17" s="437"/>
      <c r="F17" s="437"/>
      <c r="G17" s="437" t="s">
        <v>112</v>
      </c>
      <c r="H17" s="437"/>
      <c r="I17" s="437"/>
    </row>
    <row r="24" spans="2:9" x14ac:dyDescent="0.25">
      <c r="H24" s="6">
        <f>50000+15600</f>
        <v>65600</v>
      </c>
    </row>
  </sheetData>
  <mergeCells count="7">
    <mergeCell ref="A5:I5"/>
    <mergeCell ref="G17:I17"/>
    <mergeCell ref="D17:F17"/>
    <mergeCell ref="Q6:R6"/>
    <mergeCell ref="T6:U6"/>
    <mergeCell ref="F7:G7"/>
    <mergeCell ref="H8:I8"/>
  </mergeCells>
  <pageMargins left="0" right="0" top="0" bottom="0" header="0.3" footer="0.3"/>
  <pageSetup paperSize="9" scale="93" orientation="landscape" verticalDpi="0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H38"/>
  <sheetViews>
    <sheetView zoomScale="85" zoomScaleNormal="85" workbookViewId="0">
      <selection activeCell="C29" sqref="C29:F29"/>
    </sheetView>
  </sheetViews>
  <sheetFormatPr defaultColWidth="9.140625" defaultRowHeight="15" x14ac:dyDescent="0.25"/>
  <cols>
    <col min="1" max="1" width="5.42578125" style="96" customWidth="1"/>
    <col min="2" max="2" width="26.28515625" style="96" customWidth="1"/>
    <col min="3" max="3" width="24.42578125" style="96" customWidth="1"/>
    <col min="4" max="4" width="6.7109375" style="97" customWidth="1"/>
    <col min="5" max="5" width="24.28515625" style="96" customWidth="1"/>
    <col min="6" max="6" width="16.42578125" style="96" customWidth="1"/>
    <col min="7" max="7" width="4.42578125" style="96" customWidth="1"/>
    <col min="8" max="8" width="10.140625" style="96" bestFit="1" customWidth="1"/>
    <col min="9" max="16384" width="9.140625" style="96"/>
  </cols>
  <sheetData>
    <row r="1" spans="1:6" x14ac:dyDescent="0.25">
      <c r="A1" s="59"/>
      <c r="B1" s="59"/>
      <c r="C1" s="59"/>
      <c r="D1" s="87"/>
      <c r="E1" s="59"/>
      <c r="F1" s="59"/>
    </row>
    <row r="2" spans="1:6" x14ac:dyDescent="0.25">
      <c r="A2" s="106" t="s">
        <v>0</v>
      </c>
      <c r="B2" s="106"/>
      <c r="C2" s="106"/>
      <c r="D2" s="106"/>
      <c r="E2" s="106"/>
      <c r="F2" s="59"/>
    </row>
    <row r="3" spans="1:6" x14ac:dyDescent="0.25">
      <c r="A3" s="106" t="s">
        <v>151</v>
      </c>
      <c r="B3" s="106"/>
      <c r="C3" s="106"/>
      <c r="D3" s="106"/>
      <c r="E3" s="106"/>
      <c r="F3" s="59"/>
    </row>
    <row r="4" spans="1:6" x14ac:dyDescent="0.25">
      <c r="A4" s="106" t="s">
        <v>122</v>
      </c>
      <c r="B4" s="106"/>
      <c r="C4" s="106"/>
      <c r="D4" s="106"/>
      <c r="E4" s="106"/>
      <c r="F4" s="59"/>
    </row>
    <row r="5" spans="1:6" ht="15.75" x14ac:dyDescent="0.25">
      <c r="A5" s="441" t="s">
        <v>152</v>
      </c>
      <c r="B5" s="441"/>
      <c r="C5" s="441"/>
      <c r="D5" s="441"/>
      <c r="E5" s="441"/>
      <c r="F5" s="441"/>
    </row>
    <row r="6" spans="1:6" x14ac:dyDescent="0.25">
      <c r="A6" s="442" t="s">
        <v>353</v>
      </c>
      <c r="B6" s="442"/>
      <c r="C6" s="442"/>
      <c r="D6" s="442"/>
      <c r="E6" s="442"/>
      <c r="F6" s="442"/>
    </row>
    <row r="7" spans="1:6" ht="15.75" x14ac:dyDescent="0.25">
      <c r="A7" s="443" t="s">
        <v>3</v>
      </c>
      <c r="B7" s="444"/>
      <c r="C7" s="31" t="s">
        <v>8</v>
      </c>
      <c r="D7" s="445"/>
      <c r="E7" s="445"/>
      <c r="F7" s="58"/>
    </row>
    <row r="8" spans="1:6" ht="32.25" customHeight="1" x14ac:dyDescent="0.25">
      <c r="A8" s="446" t="s">
        <v>123</v>
      </c>
      <c r="B8" s="447"/>
      <c r="C8" s="136" t="str">
        <f>VLOOKUP($C$7,'Bảng tổng hợp'!B4:BB1009,2,0)</f>
        <v>Phạm Đăng Anh Thư</v>
      </c>
      <c r="D8" s="91" t="s">
        <v>97</v>
      </c>
      <c r="E8" s="92"/>
      <c r="F8" s="105" t="str">
        <f>VLOOKUP($C$7,'Bảng tổng hợp'!B4:BB1009,4,0)</f>
        <v>Tổng Giám Đốc</v>
      </c>
    </row>
    <row r="9" spans="1:6" x14ac:dyDescent="0.25">
      <c r="A9" s="440" t="s">
        <v>124</v>
      </c>
      <c r="B9" s="440"/>
      <c r="C9" s="99">
        <v>26</v>
      </c>
      <c r="D9" s="93" t="s">
        <v>66</v>
      </c>
      <c r="E9" s="92"/>
      <c r="F9" s="101">
        <f>VLOOKUP($C$7,'Bảng tổng hợp'!$B$4:$BB$1009,7,0)</f>
        <v>15000000</v>
      </c>
    </row>
    <row r="10" spans="1:6" x14ac:dyDescent="0.25">
      <c r="A10" s="440" t="s">
        <v>125</v>
      </c>
      <c r="B10" s="440"/>
      <c r="C10" s="100">
        <f>VLOOKUP($C$7,'Bảng tổng hợp'!$B$4:$BB$1009,14,0)</f>
        <v>26</v>
      </c>
      <c r="D10" s="93" t="s">
        <v>148</v>
      </c>
      <c r="E10" s="92"/>
      <c r="F10" s="101">
        <f>VLOOKUP($C$7,'Bảng tổng hợp'!$B$4:$BB$1009,8,0)</f>
        <v>3000000</v>
      </c>
    </row>
    <row r="11" spans="1:6" x14ac:dyDescent="0.25">
      <c r="A11" s="450" t="s">
        <v>91</v>
      </c>
      <c r="B11" s="450"/>
      <c r="C11" s="100">
        <f>VLOOKUP($C$7,'Bảng tổng hợp'!$B$4:$BB$1009,15,0)</f>
        <v>0</v>
      </c>
      <c r="D11" s="93" t="s">
        <v>149</v>
      </c>
      <c r="E11" s="92"/>
      <c r="F11" s="101">
        <f>VLOOKUP($C$7,'Bảng tổng hợp'!$B$4:$BB$1009,9,0)</f>
        <v>2600000</v>
      </c>
    </row>
    <row r="12" spans="1:6" x14ac:dyDescent="0.25">
      <c r="A12" s="448" t="s">
        <v>157</v>
      </c>
      <c r="B12" s="449"/>
      <c r="C12" s="100">
        <f>VLOOKUP($C$7,'Bảng tổng hợp'!$B$4:$BB$1009,17,0)</f>
        <v>8</v>
      </c>
      <c r="D12" s="94" t="s">
        <v>128</v>
      </c>
      <c r="E12" s="95"/>
      <c r="F12" s="101">
        <f>VLOOKUP($C$7,'Bảng tổng hợp'!$B$4:$BB$1009,10,0)</f>
        <v>0</v>
      </c>
    </row>
    <row r="13" spans="1:6" x14ac:dyDescent="0.25">
      <c r="A13" s="440" t="s">
        <v>158</v>
      </c>
      <c r="B13" s="440"/>
      <c r="C13" s="61"/>
      <c r="D13" s="94" t="s">
        <v>127</v>
      </c>
      <c r="E13" s="95"/>
      <c r="F13" s="101">
        <f>VLOOKUP($C$7,'Bảng tổng hợp'!$B$4:$BB$1009,11,0)</f>
        <v>4000000</v>
      </c>
    </row>
    <row r="14" spans="1:6" x14ac:dyDescent="0.25">
      <c r="A14" s="440" t="s">
        <v>159</v>
      </c>
      <c r="B14" s="440"/>
      <c r="C14" s="61"/>
      <c r="D14" s="94" t="s">
        <v>126</v>
      </c>
      <c r="E14" s="95"/>
      <c r="F14" s="101">
        <f>VLOOKUP($C$7,'Bảng tổng hợp'!$B$4:$BB$1009,12,0)</f>
        <v>400000</v>
      </c>
    </row>
    <row r="15" spans="1:6" x14ac:dyDescent="0.25">
      <c r="A15" s="60" t="s">
        <v>129</v>
      </c>
      <c r="B15" s="60"/>
      <c r="C15" s="82">
        <f>C10</f>
        <v>26</v>
      </c>
      <c r="D15" s="93" t="s">
        <v>130</v>
      </c>
      <c r="E15" s="104"/>
      <c r="F15" s="103">
        <f>VLOOKUP($C$7,'Bảng tổng hợp'!$B$4:$BB$1009,6,0)</f>
        <v>18000000</v>
      </c>
    </row>
    <row r="16" spans="1:6" x14ac:dyDescent="0.25">
      <c r="A16" s="459"/>
      <c r="B16" s="460"/>
      <c r="C16" s="64"/>
      <c r="D16" s="453"/>
      <c r="E16" s="454"/>
      <c r="F16" s="65"/>
    </row>
    <row r="17" spans="1:8" x14ac:dyDescent="0.25">
      <c r="A17" s="69"/>
      <c r="B17" s="69"/>
      <c r="C17" s="70"/>
      <c r="D17" s="85"/>
      <c r="E17" s="71"/>
      <c r="F17" s="72"/>
    </row>
    <row r="18" spans="1:8" x14ac:dyDescent="0.25">
      <c r="A18" s="59"/>
      <c r="B18" s="59"/>
      <c r="C18" s="59"/>
      <c r="D18" s="87"/>
      <c r="E18" s="59"/>
      <c r="F18" s="59"/>
    </row>
    <row r="19" spans="1:8" x14ac:dyDescent="0.25">
      <c r="A19" s="67" t="s">
        <v>2</v>
      </c>
      <c r="B19" s="67" t="s">
        <v>131</v>
      </c>
      <c r="C19" s="68" t="s">
        <v>93</v>
      </c>
      <c r="D19" s="88" t="s">
        <v>132</v>
      </c>
      <c r="E19" s="67" t="s">
        <v>133</v>
      </c>
      <c r="F19" s="68" t="s">
        <v>93</v>
      </c>
    </row>
    <row r="20" spans="1:8" x14ac:dyDescent="0.25">
      <c r="A20" s="66">
        <v>1</v>
      </c>
      <c r="B20" s="62" t="s">
        <v>134</v>
      </c>
      <c r="C20" s="101">
        <f>SUMIFS('Bảng tổng hợp'!$V:$V,'Bảng tổng hợp'!$B:$B,'Phiếu lương'!C7)+SUMIFS('Bảng tổng hợp'!$W:$W,'Bảng tổng hợp'!$B:$B,'Phiếu lương'!$C$7)+SUMIFS('Bảng tổng hợp'!$X:$X,'Bảng tổng hợp'!$B:$B,'Phiếu lương'!$C$7)+SUMIFS('Bảng tổng hợp'!$Y:$Y,'Bảng tổng hợp'!$B:$B,'Phiếu lương'!$C$7)+SUMIFS('Bảng tổng hợp'!$Z:$Z,'Bảng tổng hợp'!$B:$B,'Phiếu lương'!$C$7)+SUMIFS('Bảng tổng hợp'!$AA:$AA,'Bảng tổng hợp'!$B:$B,'Phiếu lương'!$C$7)</f>
        <v>25000000</v>
      </c>
      <c r="D20" s="76">
        <v>1</v>
      </c>
      <c r="E20" s="57" t="s">
        <v>135</v>
      </c>
      <c r="F20" s="61">
        <f>IFERROR(IF(C15&gt;=14,$F$15*8%,0),0)</f>
        <v>1440000</v>
      </c>
      <c r="H20" s="96">
        <f>SUMIF('Phiếu lương'!V12:W12,'Phiếu lương'!C7)</f>
        <v>0</v>
      </c>
    </row>
    <row r="21" spans="1:8" ht="15" customHeight="1" x14ac:dyDescent="0.25">
      <c r="A21" s="66">
        <v>2</v>
      </c>
      <c r="B21" s="62" t="s">
        <v>170</v>
      </c>
      <c r="C21" s="101">
        <f>VLOOKUP($C$7,'Bảng tổng hợp'!$B$4:$BB$1009,16,0)</f>
        <v>0</v>
      </c>
      <c r="D21" s="76">
        <v>2</v>
      </c>
      <c r="E21" s="57" t="s">
        <v>136</v>
      </c>
      <c r="F21" s="61">
        <f>IFERROR(IF(C15&gt;=14,$F$15*1.5%,0),0)</f>
        <v>270000</v>
      </c>
    </row>
    <row r="22" spans="1:8" x14ac:dyDescent="0.25">
      <c r="A22" s="66">
        <v>3</v>
      </c>
      <c r="B22" s="62" t="s">
        <v>160</v>
      </c>
      <c r="C22" s="101">
        <f>VLOOKUP($C$7,'Bảng tổng hợp'!$B$4:$BB$1009,18,0)</f>
        <v>1038462</v>
      </c>
      <c r="D22" s="76">
        <v>3</v>
      </c>
      <c r="E22" s="57" t="s">
        <v>137</v>
      </c>
      <c r="F22" s="61">
        <f>IFERROR(IF(C15&gt;=14,$F$15*1%,0),0)</f>
        <v>180000</v>
      </c>
    </row>
    <row r="23" spans="1:8" x14ac:dyDescent="0.25">
      <c r="A23" s="66">
        <v>4</v>
      </c>
      <c r="B23" s="62" t="s">
        <v>354</v>
      </c>
      <c r="C23" s="137">
        <f>VLOOKUP($C$7,'Bảng tổng hợp'!$B$4:$BB$1009,20,0)</f>
        <v>0</v>
      </c>
      <c r="D23" s="76">
        <v>4</v>
      </c>
      <c r="E23" s="57" t="s">
        <v>150</v>
      </c>
      <c r="F23" s="102">
        <f>VLOOKUP($C$7,'Bảng tổng hợp'!$B$4:$BB$1009,44,0)</f>
        <v>0</v>
      </c>
    </row>
    <row r="24" spans="1:8" ht="30" x14ac:dyDescent="0.25">
      <c r="A24" s="66">
        <v>5</v>
      </c>
      <c r="B24" s="132" t="s">
        <v>164</v>
      </c>
      <c r="C24" s="137">
        <f>VLOOKUP($C$7,'Bảng tổng hợp'!$B$4:$BB$1009,27,0)</f>
        <v>0</v>
      </c>
      <c r="D24" s="76">
        <v>5</v>
      </c>
      <c r="E24" s="57" t="s">
        <v>138</v>
      </c>
      <c r="F24" s="102">
        <f>VLOOKUP($C$7,'Bảng tổng hợp'!$B$4:$BB$1009,51,0)</f>
        <v>30500</v>
      </c>
    </row>
    <row r="25" spans="1:8" x14ac:dyDescent="0.25">
      <c r="A25" s="66">
        <v>6</v>
      </c>
      <c r="B25" s="62"/>
      <c r="C25" s="131"/>
      <c r="D25" s="76">
        <v>6</v>
      </c>
      <c r="E25" s="57" t="s">
        <v>109</v>
      </c>
      <c r="F25" s="102">
        <f>VLOOKUP($C$7,'Bảng tổng hợp'!$B$4:$BB$1009,52,0)</f>
        <v>0</v>
      </c>
    </row>
    <row r="26" spans="1:8" x14ac:dyDescent="0.25">
      <c r="A26" s="63"/>
      <c r="B26" s="73" t="s">
        <v>139</v>
      </c>
      <c r="C26" s="74">
        <f>SUM(C20:C25)</f>
        <v>26038462</v>
      </c>
      <c r="D26" s="89"/>
      <c r="E26" s="75" t="s">
        <v>140</v>
      </c>
      <c r="F26" s="74">
        <f>SUM(F20:F25)</f>
        <v>1920500</v>
      </c>
    </row>
    <row r="27" spans="1:8" x14ac:dyDescent="0.25">
      <c r="A27" s="59"/>
      <c r="B27" s="59"/>
      <c r="C27" s="59"/>
      <c r="D27" s="87"/>
      <c r="E27" s="59"/>
      <c r="F27" s="59"/>
    </row>
    <row r="28" spans="1:8" x14ac:dyDescent="0.25">
      <c r="A28" s="127" t="s">
        <v>141</v>
      </c>
      <c r="B28" s="128"/>
      <c r="C28" s="455">
        <f>+C26-F26</f>
        <v>24117962</v>
      </c>
      <c r="D28" s="455"/>
      <c r="E28" s="455"/>
      <c r="F28" s="456"/>
    </row>
    <row r="29" spans="1:8" x14ac:dyDescent="0.25">
      <c r="A29" s="129" t="s">
        <v>142</v>
      </c>
      <c r="B29" s="130"/>
      <c r="C29" s="457" t="e">
        <f ca="1">vnd(C28)</f>
        <v>#NAME?</v>
      </c>
      <c r="D29" s="457"/>
      <c r="E29" s="457"/>
      <c r="F29" s="458"/>
    </row>
    <row r="30" spans="1:8" x14ac:dyDescent="0.25">
      <c r="A30" s="59"/>
      <c r="B30" s="59"/>
      <c r="C30" s="59"/>
      <c r="D30" s="87"/>
      <c r="E30" s="59"/>
      <c r="F30" s="59"/>
    </row>
    <row r="31" spans="1:8" x14ac:dyDescent="0.25">
      <c r="A31" s="135"/>
      <c r="B31" s="133" t="s">
        <v>143</v>
      </c>
      <c r="C31" s="78"/>
      <c r="D31" s="86" t="s">
        <v>144</v>
      </c>
      <c r="E31" s="451" t="s">
        <v>145</v>
      </c>
      <c r="F31" s="452"/>
    </row>
    <row r="32" spans="1:8" x14ac:dyDescent="0.25">
      <c r="A32" s="77"/>
      <c r="B32" s="85" t="s">
        <v>147</v>
      </c>
      <c r="C32" s="71"/>
      <c r="D32" s="85"/>
      <c r="E32" s="71" t="s">
        <v>146</v>
      </c>
      <c r="F32" s="84"/>
    </row>
    <row r="33" spans="1:6" x14ac:dyDescent="0.25">
      <c r="A33" s="77"/>
      <c r="B33" s="72"/>
      <c r="C33" s="71"/>
      <c r="D33" s="85"/>
      <c r="E33" s="72"/>
      <c r="F33" s="83"/>
    </row>
    <row r="34" spans="1:6" x14ac:dyDescent="0.25">
      <c r="A34" s="77"/>
      <c r="B34" s="72"/>
      <c r="C34" s="71"/>
      <c r="D34" s="85"/>
      <c r="E34" s="72"/>
      <c r="F34" s="83"/>
    </row>
    <row r="35" spans="1:6" x14ac:dyDescent="0.25">
      <c r="A35" s="77"/>
      <c r="B35" s="72"/>
      <c r="C35" s="71"/>
      <c r="D35" s="85"/>
      <c r="E35" s="72"/>
      <c r="F35" s="83"/>
    </row>
    <row r="36" spans="1:6" x14ac:dyDescent="0.25">
      <c r="A36" s="77"/>
      <c r="B36" s="72"/>
      <c r="C36" s="71"/>
      <c r="D36" s="85"/>
      <c r="E36" s="72"/>
      <c r="F36" s="83"/>
    </row>
    <row r="37" spans="1:6" x14ac:dyDescent="0.25">
      <c r="A37" s="77"/>
      <c r="B37" s="72"/>
      <c r="C37" s="71"/>
      <c r="D37" s="85"/>
      <c r="E37" s="72"/>
      <c r="F37" s="83"/>
    </row>
    <row r="38" spans="1:6" x14ac:dyDescent="0.25">
      <c r="A38" s="79"/>
      <c r="B38" s="80"/>
      <c r="C38" s="80"/>
      <c r="D38" s="90"/>
      <c r="E38" s="80"/>
      <c r="F38" s="81"/>
    </row>
  </sheetData>
  <dataConsolidate/>
  <mergeCells count="16">
    <mergeCell ref="E31:F31"/>
    <mergeCell ref="D16:E16"/>
    <mergeCell ref="C28:F28"/>
    <mergeCell ref="C29:F29"/>
    <mergeCell ref="A16:B16"/>
    <mergeCell ref="A10:B10"/>
    <mergeCell ref="A12:B12"/>
    <mergeCell ref="A13:B13"/>
    <mergeCell ref="A14:B14"/>
    <mergeCell ref="A11:B11"/>
    <mergeCell ref="A9:B9"/>
    <mergeCell ref="A5:F5"/>
    <mergeCell ref="A6:F6"/>
    <mergeCell ref="A7:B7"/>
    <mergeCell ref="D7:E7"/>
    <mergeCell ref="A8:B8"/>
  </mergeCells>
  <conditionalFormatting sqref="C7">
    <cfRule type="duplicateValues" dxfId="0" priority="1"/>
  </conditionalFormatting>
  <pageMargins left="0.28999999999999998" right="0.25" top="0" bottom="0.2" header="0.2" footer="0.3"/>
  <pageSetup paperSize="9" scale="95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'Bảng tổng hợp'!$B:$B</xm:f>
          </x14:formula1>
          <xm:sqref>C7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Bảng thông tin</vt:lpstr>
      <vt:lpstr>Bảng tổng hợp</vt:lpstr>
      <vt:lpstr>STK</vt:lpstr>
      <vt:lpstr>BCC</vt:lpstr>
      <vt:lpstr>Bảng thể hiện</vt:lpstr>
      <vt:lpstr>Bảng TT CTV</vt:lpstr>
      <vt:lpstr>Phiếu lương</vt:lpstr>
      <vt:lpstr>'Bảng thể hiện'!Print_Area</vt:lpstr>
      <vt:lpstr>BCC!Print_Area</vt:lpstr>
      <vt:lpstr>'Phiếu lương'!Print_Area</vt:lpstr>
      <vt:lpstr>STK!Print_Area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Thuy Vu Thi Mai</cp:lastModifiedBy>
  <cp:lastPrinted>2026-07-06T04:20:25Z</cp:lastPrinted>
  <dcterms:created xsi:type="dcterms:W3CDTF">2026-01-15T09:20:03Z</dcterms:created>
  <dcterms:modified xsi:type="dcterms:W3CDTF">2026-07-10T03:43:02Z</dcterms:modified>
</cp:coreProperties>
</file>